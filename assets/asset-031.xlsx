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基本項目" sheetId="1" r:id="rId5"/>
    <sheet state="visible" name="見積依頼書" sheetId="2" r:id="rId6"/>
    <sheet state="visible" name="見積書" sheetId="3" r:id="rId7"/>
    <sheet state="visible" name="発注書" sheetId="4" r:id="rId8"/>
    <sheet state="visible" name="請求書" sheetId="5" r:id="rId9"/>
    <sheet state="visible" name="納品書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4">
      <text>
        <t xml:space="preserve">2個目以降は手動で訂正してください
</t>
      </text>
    </comment>
    <comment authorId="0" ref="L16">
      <text>
        <t xml:space="preserve">必要に応じて記入してください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納品先を入力</t>
      </text>
    </comment>
    <comment authorId="0" ref="B14">
      <text>
        <t xml:space="preserve">納期を入力
</t>
      </text>
    </comment>
    <comment authorId="0" ref="L7">
      <text>
        <t xml:space="preserve">発注者の会社名
</t>
      </text>
    </comment>
    <comment authorId="0" ref="A7">
      <text>
        <t xml:space="preserve">発注者の本社の住所を入力</t>
      </text>
    </comment>
    <comment authorId="0" ref="O4">
      <text>
        <t xml:space="preserve">2個目以降は手動で訂正してください
</t>
      </text>
    </comment>
    <comment authorId="0" ref="A6">
      <text>
        <t xml:space="preserve">発注者の本社の郵便番号を入力</t>
      </text>
    </comment>
    <comment authorId="0" ref="A5">
      <text>
        <t xml:space="preserve">発注先名を入力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納品先を入力</t>
      </text>
    </comment>
    <comment authorId="0" ref="M8">
      <text>
        <t xml:space="preserve">発注者の会社名
</t>
      </text>
    </comment>
    <comment authorId="0" ref="C14">
      <text>
        <t xml:space="preserve">納期を入力
</t>
      </text>
    </comment>
    <comment authorId="0" ref="M7">
      <text>
        <t xml:space="preserve">発注者の会社名
</t>
      </text>
    </comment>
    <comment authorId="0" ref="B7">
      <text>
        <t xml:space="preserve">発注先名を入力</t>
      </text>
    </comment>
    <comment authorId="0" ref="P4">
      <text>
        <t xml:space="preserve">2個目以降は手動で訂正してください
</t>
      </text>
    </comment>
    <comment authorId="0" ref="B6">
      <text>
        <t xml:space="preserve">発注先名を入力</t>
      </text>
    </comment>
    <comment authorId="0" ref="B5">
      <text>
        <t xml:space="preserve">発注先名を入力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発注者の本社の住所を入力</t>
      </text>
    </comment>
    <comment authorId="0" ref="A6">
      <text>
        <t xml:space="preserve">発注者の本社の郵便番号を入力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5">
      <text>
        <t xml:space="preserve">納品先を入力</t>
      </text>
    </comment>
    <comment authorId="0" ref="B14">
      <text>
        <t xml:space="preserve">納期を入力
</t>
      </text>
    </comment>
    <comment authorId="0" ref="L7">
      <text>
        <t xml:space="preserve">発注者の会社名
</t>
      </text>
    </comment>
    <comment authorId="0" ref="A7">
      <text>
        <t xml:space="preserve">発注者の本社の住所を入力</t>
      </text>
    </comment>
    <comment authorId="0" ref="O4">
      <text>
        <t xml:space="preserve">2個目以降は手動で訂正してください
</t>
      </text>
    </comment>
    <comment authorId="0" ref="A6">
      <text>
        <t xml:space="preserve">発注者の本社の郵便番号を入力</t>
      </text>
    </comment>
    <comment authorId="0" ref="A5">
      <text>
        <t xml:space="preserve">発注先名を入力</t>
      </text>
    </comment>
  </commentList>
</comments>
</file>

<file path=xl/sharedStrings.xml><?xml version="1.0" encoding="utf-8"?>
<sst xmlns="http://schemas.openxmlformats.org/spreadsheetml/2006/main" count="214" uniqueCount="68">
  <si>
    <t>共通</t>
  </si>
  <si>
    <t>見積依頼書</t>
  </si>
  <si>
    <t>見積依頼日</t>
  </si>
  <si>
    <t>見積書</t>
  </si>
  <si>
    <t>見積日</t>
  </si>
  <si>
    <t>発注日</t>
  </si>
  <si>
    <t>請求日</t>
  </si>
  <si>
    <t>発注書</t>
  </si>
  <si>
    <t>納品日</t>
  </si>
  <si>
    <t>振込先</t>
  </si>
  <si>
    <t>支払い方法</t>
  </si>
  <si>
    <t>納品場所</t>
  </si>
  <si>
    <t>納期</t>
  </si>
  <si>
    <t>発注者</t>
  </si>
  <si>
    <t>会社名</t>
  </si>
  <si>
    <t>郵便番号</t>
  </si>
  <si>
    <t>住所</t>
  </si>
  <si>
    <t>電話番号</t>
  </si>
  <si>
    <t>メールアドレス</t>
  </si>
  <si>
    <t>担当者名</t>
  </si>
  <si>
    <t>受注者</t>
  </si>
  <si>
    <t>見積依頼番号</t>
  </si>
  <si>
    <t>見積番号</t>
  </si>
  <si>
    <t>御中</t>
  </si>
  <si>
    <t>発注番号</t>
  </si>
  <si>
    <t>住所：</t>
  </si>
  <si>
    <t>下記の通り、見積を依頼します</t>
  </si>
  <si>
    <t>電話：</t>
  </si>
  <si>
    <t>下記の通り、発注いたします。</t>
  </si>
  <si>
    <t>メール：</t>
  </si>
  <si>
    <t>合計金額（税込）</t>
  </si>
  <si>
    <t>担当者名：</t>
  </si>
  <si>
    <t>内容</t>
  </si>
  <si>
    <t>担当者：</t>
  </si>
  <si>
    <t>数量</t>
  </si>
  <si>
    <t>単位</t>
  </si>
  <si>
    <t>サイズや要望など</t>
  </si>
  <si>
    <t>軽減税率</t>
  </si>
  <si>
    <t>単価（税抜）</t>
  </si>
  <si>
    <t>税率</t>
  </si>
  <si>
    <t>金額（税抜）</t>
  </si>
  <si>
    <t>採用研修事業サイト制作（企画・原稿・デザイン）</t>
  </si>
  <si>
    <t>---</t>
  </si>
  <si>
    <t>個</t>
  </si>
  <si>
    <t>(内訳)</t>
  </si>
  <si>
    <t>TOPページ制作</t>
  </si>
  <si>
    <t>資料請求ページ制作</t>
  </si>
  <si>
    <t>セミナー集客ページ制作</t>
  </si>
  <si>
    <t>オンライン研修案内用ページ制作</t>
  </si>
  <si>
    <t>コンサルティング案内用ページ制作</t>
  </si>
  <si>
    <t>お問い合わせ獲得用ページ制作</t>
  </si>
  <si>
    <t>お問い合わせ時配布用資料作成</t>
  </si>
  <si>
    <t>備考・見積書のお届け先等</t>
  </si>
  <si>
    <t>ブログ記事制作</t>
  </si>
  <si>
    <t>ウェビナー制作</t>
  </si>
  <si>
    <t>相生株式会社</t>
  </si>
  <si>
    <t>Easy Webinar</t>
  </si>
  <si>
    <t>小計</t>
  </si>
  <si>
    <t>消費税</t>
  </si>
  <si>
    <t>合計</t>
  </si>
  <si>
    <t>備考</t>
  </si>
  <si>
    <t>請求書</t>
  </si>
  <si>
    <t>請求書番号</t>
  </si>
  <si>
    <t>納品書</t>
  </si>
  <si>
    <t>納品番号</t>
  </si>
  <si>
    <t>下記の通り、納品を確認しました</t>
  </si>
  <si>
    <t>お振込先</t>
  </si>
  <si>
    <t>※お振込手数料は御社負担にてお願いいたします。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</si>
</sst>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/mm/dd"/>
    <numFmt numFmtId="165" formatCode="yyyy&quot;/&quot;m&quot;/&quot;d"/>
    <numFmt numFmtId="166" formatCode="yyyy/m/d"/>
    <numFmt numFmtId="167" formatCode="&quot;¥&quot;#,##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36.0"/>
      <color rgb="FFFFFFFF"/>
      <name val="&quot;ＭＳ Ｐゴシック&quot;"/>
    </font>
    <font>
      <sz val="14.0"/>
      <color rgb="FF000000"/>
      <name val="&quot;ＭＳ Ｐゴシック&quot;"/>
    </font>
    <font>
      <sz val="16.0"/>
      <color rgb="FF000000"/>
      <name val="&quot;ＭＳ Ｐゴシック&quot;"/>
    </font>
    <font/>
    <font>
      <sz val="15.0"/>
      <color rgb="FF000000"/>
      <name val="&quot;ＭＳ Ｐゴシック&quot;"/>
    </font>
    <font>
      <sz val="26.0"/>
      <color rgb="FF000000"/>
      <name val="&quot;ＭＳ Ｐゴシック&quot;"/>
    </font>
    <font>
      <sz val="18.0"/>
      <color rgb="FF000000"/>
      <name val="&quot;ＭＳ Ｐゴシック&quot;"/>
    </font>
    <font>
      <sz val="22.0"/>
      <color rgb="FF000000"/>
      <name val="&quot;ＭＳ Ｐゴシック&quot;"/>
    </font>
    <font>
      <sz val="16.0"/>
      <color rgb="FFFFFFFF"/>
      <name val="&quot;ＭＳ Ｐゴシック&quot;"/>
    </font>
    <font>
      <sz val="32.0"/>
      <color rgb="FF000000"/>
      <name val="&quot;ＭＳ Ｐゴシック&quot;"/>
    </font>
    <font>
      <sz val="12.0"/>
      <color rgb="FF000000"/>
      <name val="游ゴシック"/>
    </font>
    <font>
      <sz val="14.0"/>
      <color rgb="FFFFFFFF"/>
      <name val="&quot;ＭＳ Ｐゴシック&quot;"/>
    </font>
    <font>
      <sz val="11.0"/>
      <color rgb="FFFFFFFF"/>
      <name val="&quot;ＭＳ Ｐゴシック&quot;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864F0"/>
        <bgColor rgb="FF2864F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3" fontId="2" numFmtId="0" xfId="0" applyAlignment="1" applyFill="1" applyFont="1">
      <alignment horizontal="center" readingOrder="0" shrinkToFit="0" wrapText="0"/>
    </xf>
    <xf borderId="1" fillId="0" fontId="1" numFmtId="164" xfId="0" applyAlignment="1" applyBorder="1" applyFont="1" applyNumberFormat="1">
      <alignment horizontal="left" readingOrder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1" fillId="0" fontId="1" numFmtId="0" xfId="0" applyAlignment="1" applyBorder="1" applyFont="1">
      <alignment horizontal="left" readingOrder="0"/>
    </xf>
    <xf borderId="0" fillId="0" fontId="4" numFmtId="0" xfId="0" applyAlignment="1" applyFont="1">
      <alignment horizontal="center" readingOrder="0" shrinkToFit="0" wrapText="0"/>
    </xf>
    <xf borderId="2" fillId="0" fontId="4" numFmtId="0" xfId="0" applyAlignment="1" applyBorder="1" applyFont="1">
      <alignment horizontal="center" readingOrder="0" shrinkToFit="0" wrapText="0"/>
    </xf>
    <xf borderId="3" fillId="0" fontId="5" numFmtId="0" xfId="0" applyBorder="1" applyFont="1"/>
    <xf borderId="0" fillId="0" fontId="4" numFmtId="165" xfId="0" applyAlignment="1" applyFont="1" applyNumberFormat="1">
      <alignment horizontal="left" readingOrder="0" shrinkToFit="0" wrapText="0"/>
    </xf>
    <xf borderId="2" fillId="0" fontId="4" numFmtId="165" xfId="0" applyAlignment="1" applyBorder="1" applyFont="1" applyNumberFormat="1">
      <alignment horizontal="left" readingOrder="0" shrinkToFit="0" wrapText="0"/>
    </xf>
    <xf borderId="4" fillId="0" fontId="5" numFmtId="0" xfId="0" applyBorder="1" applyFont="1"/>
    <xf borderId="0" fillId="0" fontId="1" numFmtId="0" xfId="0" applyAlignment="1" applyFont="1">
      <alignment horizontal="left"/>
    </xf>
    <xf borderId="0" fillId="0" fontId="4" numFmtId="11" xfId="0" applyAlignment="1" applyFont="1" applyNumberFormat="1">
      <alignment horizontal="left" readingOrder="0" shrinkToFit="0" wrapText="0"/>
    </xf>
    <xf borderId="0" fillId="0" fontId="6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2" fillId="0" fontId="4" numFmtId="11" xfId="0" applyAlignment="1" applyBorder="1" applyFont="1" applyNumberFormat="1">
      <alignment horizontal="left" readingOrder="0" shrinkToFit="0" wrapText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horizontal="left" shrinkToFit="0" wrapText="0"/>
    </xf>
    <xf borderId="5" fillId="0" fontId="4" numFmtId="0" xfId="0" applyAlignment="1" applyBorder="1" applyFont="1">
      <alignment readingOrder="0" shrinkToFit="0" wrapText="0"/>
    </xf>
    <xf borderId="6" fillId="0" fontId="5" numFmtId="0" xfId="0" applyBorder="1" applyFont="1"/>
    <xf borderId="7" fillId="0" fontId="4" numFmtId="0" xfId="0" applyAlignment="1" applyBorder="1" applyFont="1">
      <alignment readingOrder="0" shrinkToFit="0" wrapText="0"/>
    </xf>
    <xf borderId="2" fillId="0" fontId="4" numFmtId="0" xfId="0" applyAlignment="1" applyBorder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8" fillId="0" fontId="4" numFmtId="0" xfId="0" applyAlignment="1" applyBorder="1" applyFont="1">
      <alignment horizontal="left" readingOrder="0" shrinkToFit="0" wrapText="0"/>
    </xf>
    <xf borderId="9" fillId="0" fontId="4" numFmtId="0" xfId="0" applyAlignment="1" applyBorder="1" applyFont="1">
      <alignment shrinkToFit="0" wrapText="0"/>
    </xf>
    <xf borderId="0" fillId="0" fontId="8" numFmtId="0" xfId="0" applyAlignment="1" applyFont="1">
      <alignment shrinkToFit="0" wrapText="0"/>
    </xf>
    <xf borderId="1" fillId="0" fontId="4" numFmtId="0" xfId="0" applyAlignment="1" applyBorder="1" applyFont="1">
      <alignment horizontal="left" readingOrder="0" shrinkToFit="0" wrapText="0"/>
    </xf>
    <xf borderId="8" fillId="0" fontId="4" numFmtId="0" xfId="0" applyAlignment="1" applyBorder="1" applyFont="1">
      <alignment horizontal="left" readingOrder="0" shrinkToFit="0" wrapText="1"/>
    </xf>
    <xf borderId="2" fillId="0" fontId="4" numFmtId="0" xfId="0" applyAlignment="1" applyBorder="1" applyFont="1">
      <alignment readingOrder="0"/>
    </xf>
    <xf borderId="0" fillId="0" fontId="4" numFmtId="0" xfId="0" applyAlignment="1" applyFont="1">
      <alignment readingOrder="0" shrinkToFit="0" wrapText="0"/>
    </xf>
    <xf borderId="2" fillId="0" fontId="9" numFmtId="0" xfId="0" applyAlignment="1" applyBorder="1" applyFont="1">
      <alignment readingOrder="0" shrinkToFit="0" wrapText="0"/>
    </xf>
    <xf borderId="10" fillId="0" fontId="4" numFmtId="0" xfId="0" applyAlignment="1" applyBorder="1" applyFont="1">
      <alignment horizontal="left" shrinkToFit="0" wrapText="0"/>
    </xf>
    <xf borderId="11" fillId="0" fontId="5" numFmtId="0" xfId="0" applyBorder="1" applyFont="1"/>
    <xf borderId="12" fillId="0" fontId="4" numFmtId="0" xfId="0" applyAlignment="1" applyBorder="1" applyFont="1">
      <alignment shrinkToFit="0" wrapText="0"/>
    </xf>
    <xf borderId="1" fillId="3" fontId="10" numFmtId="0" xfId="0" applyAlignment="1" applyBorder="1" applyFont="1">
      <alignment horizontal="center" readingOrder="0" shrinkToFit="0" wrapText="0"/>
    </xf>
    <xf borderId="2" fillId="0" fontId="4" numFmtId="0" xfId="0" applyAlignment="1" applyBorder="1" applyFont="1">
      <alignment horizontal="left" readingOrder="0" shrinkToFit="0" wrapText="0"/>
    </xf>
    <xf borderId="2" fillId="0" fontId="4" numFmtId="166" xfId="0" applyAlignment="1" applyBorder="1" applyFont="1" applyNumberFormat="1">
      <alignment horizontal="left" readingOrder="0" shrinkToFit="0" wrapText="0"/>
    </xf>
    <xf borderId="11" fillId="0" fontId="4" numFmtId="0" xfId="0" applyAlignment="1" applyBorder="1" applyFont="1">
      <alignment readingOrder="0" shrinkToFit="0" wrapText="0"/>
    </xf>
    <xf borderId="0" fillId="0" fontId="4" numFmtId="0" xfId="0" applyAlignment="1" applyFont="1">
      <alignment horizontal="left" shrinkToFit="0" wrapText="0"/>
    </xf>
    <xf borderId="13" fillId="3" fontId="10" numFmtId="0" xfId="0" applyAlignment="1" applyBorder="1" applyFont="1">
      <alignment horizontal="center" readingOrder="0" shrinkToFit="0" wrapText="0"/>
    </xf>
    <xf borderId="2" fillId="3" fontId="10" numFmtId="0" xfId="0" applyAlignment="1" applyBorder="1" applyFont="1">
      <alignment horizontal="center" readingOrder="0" shrinkToFit="0" wrapText="0"/>
    </xf>
    <xf borderId="2" fillId="0" fontId="4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readingOrder="0" shrinkToFit="0" wrapText="0"/>
    </xf>
    <xf borderId="14" fillId="3" fontId="10" numFmtId="0" xfId="0" applyAlignment="1" applyBorder="1" applyFont="1">
      <alignment horizontal="center" readingOrder="0" shrinkToFit="0" wrapText="0"/>
    </xf>
    <xf borderId="5" fillId="0" fontId="11" numFmtId="167" xfId="0" applyAlignment="1" applyBorder="1" applyFont="1" applyNumberFormat="1">
      <alignment horizontal="right" readingOrder="0" shrinkToFit="0" wrapText="0"/>
    </xf>
    <xf borderId="7" fillId="0" fontId="5" numFmtId="0" xfId="0" applyBorder="1" applyFont="1"/>
    <xf borderId="0" fillId="0" fontId="10" numFmtId="0" xfId="0" applyAlignment="1" applyFont="1">
      <alignment horizontal="center" readingOrder="0" shrinkToFit="0" wrapText="0"/>
    </xf>
    <xf borderId="2" fillId="0" fontId="12" numFmtId="0" xfId="0" applyAlignment="1" applyBorder="1" applyFont="1">
      <alignment readingOrder="0" shrinkToFit="0" wrapText="0"/>
    </xf>
    <xf borderId="10" fillId="0" fontId="5" numFmtId="0" xfId="0" applyBorder="1" applyFont="1"/>
    <xf borderId="12" fillId="0" fontId="5" numFmtId="0" xfId="0" applyBorder="1" applyFont="1"/>
    <xf borderId="2" fillId="0" fontId="3" numFmtId="0" xfId="0" applyAlignment="1" applyBorder="1" applyFont="1">
      <alignment shrinkToFit="0" wrapText="0"/>
    </xf>
    <xf borderId="2" fillId="2" fontId="4" numFmtId="0" xfId="0" applyAlignment="1" applyBorder="1" applyFont="1">
      <alignment readingOrder="0" shrinkToFit="0" wrapText="0"/>
    </xf>
    <xf borderId="15" fillId="0" fontId="5" numFmtId="0" xfId="0" applyBorder="1" applyFont="1"/>
    <xf borderId="1" fillId="2" fontId="4" numFmtId="0" xfId="0" applyAlignment="1" applyBorder="1" applyFont="1">
      <alignment horizontal="right" readingOrder="0" shrinkToFit="0" wrapText="0"/>
    </xf>
    <xf borderId="2" fillId="2" fontId="4" numFmtId="0" xfId="0" applyAlignment="1" applyBorder="1" applyFont="1">
      <alignment horizontal="right" readingOrder="0" shrinkToFit="0" wrapText="0"/>
    </xf>
    <xf borderId="5" fillId="0" fontId="4" numFmtId="0" xfId="0" applyAlignment="1" applyBorder="1" applyFont="1">
      <alignment horizontal="center" shrinkToFit="0" wrapText="0"/>
    </xf>
    <xf borderId="14" fillId="0" fontId="5" numFmtId="0" xfId="0" applyBorder="1" applyFont="1"/>
    <xf borderId="3" fillId="3" fontId="13" numFmtId="0" xfId="0" applyAlignment="1" applyBorder="1" applyFont="1">
      <alignment horizontal="center" readingOrder="0" shrinkToFit="0" wrapText="0"/>
    </xf>
    <xf borderId="12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right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2" fillId="0" fontId="4" numFmtId="167" xfId="0" applyAlignment="1" applyBorder="1" applyFont="1" applyNumberFormat="1">
      <alignment horizontal="right" readingOrder="0" shrinkToFit="0" wrapText="0"/>
    </xf>
    <xf borderId="5" fillId="0" fontId="4" numFmtId="0" xfId="0" applyAlignment="1" applyBorder="1" applyFont="1">
      <alignment horizontal="left" shrinkToFit="0" wrapText="0"/>
    </xf>
    <xf borderId="1" fillId="0" fontId="4" numFmtId="9" xfId="0" applyAlignment="1" applyBorder="1" applyFont="1" applyNumberFormat="1">
      <alignment horizontal="right" readingOrder="0" shrinkToFit="0" wrapText="0"/>
    </xf>
    <xf borderId="4" fillId="0" fontId="4" numFmtId="167" xfId="0" applyAlignment="1" applyBorder="1" applyFont="1" applyNumberFormat="1">
      <alignment horizontal="right" readingOrder="0" shrinkToFit="0" wrapText="0"/>
    </xf>
    <xf borderId="12" fillId="0" fontId="4" numFmtId="0" xfId="0" applyAlignment="1" applyBorder="1" applyFont="1">
      <alignment horizontal="center" shrinkToFit="0" wrapText="0"/>
    </xf>
    <xf borderId="11" fillId="0" fontId="4" numFmtId="167" xfId="0" applyAlignment="1" applyBorder="1" applyFont="1" applyNumberFormat="1">
      <alignment horizontal="center" shrinkToFit="0" wrapText="0"/>
    </xf>
    <xf borderId="5" fillId="3" fontId="10" numFmtId="0" xfId="0" applyAlignment="1" applyBorder="1" applyFont="1">
      <alignment horizontal="center" readingOrder="0" shrinkToFit="0" wrapText="0"/>
    </xf>
    <xf borderId="5" fillId="0" fontId="3" numFmtId="0" xfId="0" applyAlignment="1" applyBorder="1" applyFont="1">
      <alignment horizontal="left" readingOrder="0" shrinkToFit="0" vertical="top" wrapText="0"/>
    </xf>
    <xf borderId="6" fillId="0" fontId="3" numFmtId="0" xfId="0" applyAlignment="1" applyBorder="1" applyFont="1">
      <alignment horizontal="left" shrinkToFit="0" vertical="top" wrapText="0"/>
    </xf>
    <xf borderId="7" fillId="0" fontId="3" numFmtId="0" xfId="0" applyAlignment="1" applyBorder="1" applyFont="1">
      <alignment horizontal="left" shrinkToFit="0" vertical="top" wrapText="0"/>
    </xf>
    <xf borderId="8" fillId="0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left" shrinkToFit="0" vertical="top" wrapText="0"/>
    </xf>
    <xf borderId="9" fillId="0" fontId="3" numFmtId="0" xfId="0" applyAlignment="1" applyBorder="1" applyFont="1">
      <alignment horizontal="left" shrinkToFit="0" vertical="top" wrapText="0"/>
    </xf>
    <xf borderId="8" fillId="0" fontId="3" numFmtId="0" xfId="0" applyAlignment="1" applyBorder="1" applyFont="1">
      <alignment horizontal="left" shrinkToFit="0" vertical="top" wrapText="0"/>
    </xf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16" fillId="0" fontId="5" numFmtId="0" xfId="0" applyBorder="1" applyFont="1"/>
    <xf borderId="0" fillId="0" fontId="14" numFmtId="0" xfId="0" applyAlignment="1" applyFont="1">
      <alignment horizontal="center" readingOrder="0" shrinkToFit="0" wrapText="0"/>
    </xf>
    <xf borderId="0" fillId="0" fontId="14" numFmtId="0" xfId="0" applyAlignment="1" applyFont="1">
      <alignment horizontal="center" readingOrder="0" shrinkToFit="0" wrapText="0"/>
    </xf>
    <xf borderId="0" fillId="0" fontId="4" numFmtId="167" xfId="0" applyAlignment="1" applyFont="1" applyNumberFormat="1">
      <alignment horizontal="right" readingOrder="0" shrinkToFit="0" wrapText="0"/>
    </xf>
    <xf borderId="5" fillId="0" fontId="3" numFmtId="0" xfId="0" applyAlignment="1" applyBorder="1" applyFont="1">
      <alignment horizontal="left" shrinkToFit="0" vertical="top" wrapText="0"/>
    </xf>
    <xf borderId="8" fillId="0" fontId="5" numFmtId="0" xfId="0" applyBorder="1" applyFont="1"/>
    <xf borderId="9" fillId="0" fontId="5" numFmtId="0" xfId="0" applyBorder="1" applyFont="1"/>
    <xf borderId="8" fillId="0" fontId="3" numFmtId="0" xfId="0" applyAlignment="1" applyBorder="1" applyFont="1">
      <alignment shrinkToFit="0" wrapText="0"/>
    </xf>
    <xf borderId="9" fillId="0" fontId="3" numFmtId="0" xfId="0" applyAlignment="1" applyBorder="1" applyFont="1">
      <alignment shrinkToFit="0" wrapText="0"/>
    </xf>
    <xf borderId="0" fillId="0" fontId="3" numFmtId="165" xfId="0" applyAlignment="1" applyFont="1" applyNumberFormat="1">
      <alignment horizontal="left" shrinkToFit="0" wrapText="0"/>
    </xf>
    <xf borderId="0" fillId="0" fontId="3" numFmtId="11" xfId="0" applyAlignment="1" applyFont="1" applyNumberFormat="1">
      <alignment shrinkToFit="0" wrapText="0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/>
    </xf>
    <xf borderId="0" fillId="0" fontId="3" numFmtId="166" xfId="0" applyAlignment="1" applyFont="1" applyNumberFormat="1">
      <alignment horizontal="left" shrinkToFit="0" wrapText="0"/>
    </xf>
    <xf borderId="1" fillId="0" fontId="3" numFmtId="0" xfId="0" applyAlignment="1" applyBorder="1" applyFont="1">
      <alignment shrinkToFit="0" wrapText="0"/>
    </xf>
    <xf borderId="0" fillId="0" fontId="9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horizontal="center" shrinkToFit="0" wrapText="0"/>
    </xf>
    <xf borderId="0" fillId="0" fontId="12" numFmtId="0" xfId="0" applyAlignment="1" applyFont="1">
      <alignment readingOrder="0" shrinkToFit="0" wrapText="0"/>
    </xf>
    <xf borderId="5" fillId="0" fontId="3" numFmtId="0" xfId="0" applyAlignment="1" applyBorder="1" applyFont="1">
      <alignment shrinkToFit="0" wrapText="0"/>
    </xf>
    <xf borderId="6" fillId="0" fontId="3" numFmtId="0" xfId="0" applyAlignment="1" applyBorder="1" applyFont="1">
      <alignment horizontal="left" readingOrder="0" shrinkToFit="0" vertical="top" wrapText="0"/>
    </xf>
    <xf borderId="8" fillId="0" fontId="3" numFmtId="0" xfId="0" applyAlignment="1" applyBorder="1" applyFont="1">
      <alignment horizontal="lef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9" fillId="0" fontId="3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88"/>
  </cols>
  <sheetData>
    <row r="1">
      <c r="A1" s="1" t="s">
        <v>0</v>
      </c>
      <c r="B1" s="1" t="s">
        <v>2</v>
      </c>
      <c r="C1" s="3"/>
    </row>
    <row r="2">
      <c r="A2" s="1" t="s">
        <v>0</v>
      </c>
      <c r="B2" s="1" t="s">
        <v>4</v>
      </c>
      <c r="C2" s="3"/>
    </row>
    <row r="3">
      <c r="A3" s="1" t="s">
        <v>0</v>
      </c>
      <c r="B3" s="1" t="s">
        <v>5</v>
      </c>
      <c r="C3" s="3"/>
    </row>
    <row r="4">
      <c r="A4" s="1" t="s">
        <v>0</v>
      </c>
      <c r="B4" s="1" t="s">
        <v>6</v>
      </c>
      <c r="C4" s="3"/>
    </row>
    <row r="5">
      <c r="A5" s="1" t="s">
        <v>0</v>
      </c>
      <c r="B5" s="1" t="s">
        <v>8</v>
      </c>
      <c r="C5" s="6"/>
    </row>
    <row r="6">
      <c r="A6" s="1" t="s">
        <v>0</v>
      </c>
      <c r="B6" s="1" t="s">
        <v>9</v>
      </c>
      <c r="C6" s="6"/>
    </row>
    <row r="7">
      <c r="A7" s="1" t="s">
        <v>0</v>
      </c>
      <c r="B7" s="1" t="s">
        <v>10</v>
      </c>
      <c r="C7" s="6"/>
    </row>
    <row r="8">
      <c r="A8" s="1" t="s">
        <v>0</v>
      </c>
      <c r="B8" s="1" t="s">
        <v>11</v>
      </c>
      <c r="C8" s="6"/>
    </row>
    <row r="9">
      <c r="A9" s="1" t="s">
        <v>0</v>
      </c>
      <c r="B9" s="1" t="s">
        <v>12</v>
      </c>
      <c r="C9" s="3"/>
    </row>
    <row r="10">
      <c r="A10" s="1" t="s">
        <v>13</v>
      </c>
      <c r="B10" s="1" t="s">
        <v>14</v>
      </c>
      <c r="C10" s="6"/>
    </row>
    <row r="11">
      <c r="A11" s="1" t="s">
        <v>13</v>
      </c>
      <c r="B11" s="1" t="s">
        <v>15</v>
      </c>
      <c r="C11" s="6"/>
    </row>
    <row r="12">
      <c r="A12" s="1" t="s">
        <v>13</v>
      </c>
      <c r="B12" s="1" t="s">
        <v>16</v>
      </c>
      <c r="C12" s="6"/>
    </row>
    <row r="13">
      <c r="A13" s="1" t="s">
        <v>13</v>
      </c>
      <c r="B13" s="1" t="s">
        <v>17</v>
      </c>
      <c r="C13" s="6"/>
    </row>
    <row r="14">
      <c r="A14" s="1" t="s">
        <v>13</v>
      </c>
      <c r="B14" s="1" t="s">
        <v>18</v>
      </c>
      <c r="C14" s="6"/>
    </row>
    <row r="15">
      <c r="A15" s="1" t="s">
        <v>13</v>
      </c>
      <c r="B15" s="1" t="s">
        <v>19</v>
      </c>
      <c r="C15" s="6"/>
    </row>
    <row r="16">
      <c r="A16" s="1" t="s">
        <v>20</v>
      </c>
      <c r="B16" s="1" t="s">
        <v>14</v>
      </c>
      <c r="C16" s="6"/>
    </row>
    <row r="17">
      <c r="A17" s="1" t="s">
        <v>20</v>
      </c>
      <c r="B17" s="1" t="s">
        <v>15</v>
      </c>
      <c r="C17" s="6"/>
    </row>
    <row r="18">
      <c r="A18" s="1" t="s">
        <v>20</v>
      </c>
      <c r="B18" s="1" t="s">
        <v>16</v>
      </c>
      <c r="C18" s="6"/>
    </row>
    <row r="19">
      <c r="A19" s="1" t="s">
        <v>20</v>
      </c>
      <c r="B19" s="1" t="s">
        <v>17</v>
      </c>
      <c r="C19" s="6"/>
    </row>
    <row r="20">
      <c r="A20" s="1" t="s">
        <v>20</v>
      </c>
      <c r="B20" s="1" t="s">
        <v>18</v>
      </c>
      <c r="C20" s="6"/>
    </row>
    <row r="21">
      <c r="A21" s="1" t="s">
        <v>20</v>
      </c>
      <c r="B21" s="1" t="s">
        <v>19</v>
      </c>
      <c r="C21" s="6"/>
    </row>
    <row r="22">
      <c r="C22" s="13"/>
    </row>
    <row r="23">
      <c r="C23" s="13"/>
    </row>
    <row r="24">
      <c r="C24" s="13"/>
    </row>
    <row r="25">
      <c r="C25" s="13"/>
    </row>
    <row r="26">
      <c r="C26" s="13"/>
    </row>
    <row r="27">
      <c r="C27" s="13"/>
    </row>
    <row r="28">
      <c r="C28" s="13"/>
    </row>
    <row r="29">
      <c r="C29" s="13"/>
    </row>
    <row r="30">
      <c r="C30" s="13"/>
    </row>
    <row r="31">
      <c r="C31" s="13"/>
    </row>
    <row r="32">
      <c r="C32" s="13"/>
    </row>
    <row r="33">
      <c r="C33" s="13"/>
    </row>
    <row r="34">
      <c r="C34" s="13"/>
    </row>
    <row r="35">
      <c r="C35" s="13"/>
    </row>
    <row r="36">
      <c r="C36" s="13"/>
    </row>
    <row r="37">
      <c r="C37" s="13"/>
    </row>
    <row r="38">
      <c r="C38" s="13"/>
    </row>
    <row r="39">
      <c r="C39" s="13"/>
    </row>
    <row r="40">
      <c r="C40" s="13"/>
    </row>
    <row r="41">
      <c r="C41" s="13"/>
    </row>
    <row r="42">
      <c r="C42" s="13"/>
    </row>
    <row r="43">
      <c r="C43" s="13"/>
    </row>
    <row r="44">
      <c r="C44" s="13"/>
    </row>
    <row r="45">
      <c r="C45" s="13"/>
    </row>
    <row r="46">
      <c r="C46" s="13"/>
    </row>
    <row r="47">
      <c r="C47" s="13"/>
    </row>
    <row r="48">
      <c r="C48" s="13"/>
    </row>
    <row r="49">
      <c r="C49" s="13"/>
    </row>
    <row r="50">
      <c r="C50" s="13"/>
    </row>
    <row r="51">
      <c r="C51" s="13"/>
    </row>
    <row r="52">
      <c r="C52" s="13"/>
    </row>
    <row r="53">
      <c r="C53" s="13"/>
    </row>
    <row r="54">
      <c r="C54" s="13"/>
    </row>
    <row r="55">
      <c r="C55" s="13"/>
    </row>
    <row r="56">
      <c r="C56" s="13"/>
    </row>
    <row r="57">
      <c r="C57" s="13"/>
    </row>
    <row r="58">
      <c r="C58" s="13"/>
    </row>
    <row r="59">
      <c r="C59" s="13"/>
    </row>
    <row r="60">
      <c r="C60" s="13"/>
    </row>
    <row r="61">
      <c r="C61" s="13"/>
    </row>
    <row r="62">
      <c r="C62" s="13"/>
    </row>
    <row r="63">
      <c r="C63" s="13"/>
    </row>
    <row r="64">
      <c r="C64" s="13"/>
    </row>
    <row r="65">
      <c r="C65" s="13"/>
    </row>
    <row r="66">
      <c r="C66" s="13"/>
    </row>
    <row r="67">
      <c r="C67" s="13"/>
    </row>
    <row r="68">
      <c r="C68" s="13"/>
    </row>
    <row r="69">
      <c r="C69" s="13"/>
    </row>
    <row r="70">
      <c r="C70" s="13"/>
    </row>
    <row r="71">
      <c r="C71" s="13"/>
    </row>
    <row r="72">
      <c r="C72" s="13"/>
    </row>
    <row r="73">
      <c r="C73" s="13"/>
    </row>
    <row r="74">
      <c r="C74" s="13"/>
    </row>
    <row r="75">
      <c r="C75" s="13"/>
    </row>
    <row r="76">
      <c r="C76" s="13"/>
    </row>
    <row r="77">
      <c r="C77" s="13"/>
    </row>
    <row r="78">
      <c r="C78" s="13"/>
    </row>
    <row r="79">
      <c r="C79" s="13"/>
    </row>
    <row r="80">
      <c r="C80" s="13"/>
    </row>
    <row r="81">
      <c r="C81" s="13"/>
    </row>
    <row r="82">
      <c r="C82" s="13"/>
    </row>
    <row r="83">
      <c r="C83" s="13"/>
    </row>
    <row r="84">
      <c r="C84" s="13"/>
    </row>
    <row r="85">
      <c r="C85" s="13"/>
    </row>
    <row r="86">
      <c r="C86" s="13"/>
    </row>
    <row r="87">
      <c r="C87" s="13"/>
    </row>
    <row r="88">
      <c r="C88" s="13"/>
    </row>
    <row r="89">
      <c r="C89" s="13"/>
    </row>
    <row r="90">
      <c r="C90" s="13"/>
    </row>
    <row r="91">
      <c r="C91" s="13"/>
    </row>
    <row r="92">
      <c r="C92" s="13"/>
    </row>
    <row r="93">
      <c r="C93" s="13"/>
    </row>
    <row r="94">
      <c r="C94" s="13"/>
    </row>
    <row r="95">
      <c r="C95" s="13"/>
    </row>
    <row r="96">
      <c r="C96" s="13"/>
    </row>
    <row r="97">
      <c r="C97" s="13"/>
    </row>
    <row r="98">
      <c r="C98" s="13"/>
    </row>
    <row r="99">
      <c r="C99" s="13"/>
    </row>
    <row r="100">
      <c r="C100" s="13"/>
    </row>
    <row r="101">
      <c r="C101" s="13"/>
    </row>
    <row r="102">
      <c r="C102" s="13"/>
    </row>
    <row r="103">
      <c r="C103" s="13"/>
    </row>
    <row r="104">
      <c r="C104" s="13"/>
    </row>
    <row r="105">
      <c r="C105" s="13"/>
    </row>
    <row r="106">
      <c r="C106" s="13"/>
    </row>
    <row r="107">
      <c r="C107" s="13"/>
    </row>
    <row r="108">
      <c r="C108" s="13"/>
    </row>
    <row r="109">
      <c r="C109" s="13"/>
    </row>
    <row r="110">
      <c r="C110" s="13"/>
    </row>
    <row r="111">
      <c r="C111" s="13"/>
    </row>
    <row r="112">
      <c r="C112" s="13"/>
    </row>
    <row r="113">
      <c r="C113" s="13"/>
    </row>
    <row r="114">
      <c r="C114" s="13"/>
    </row>
    <row r="115">
      <c r="C115" s="13"/>
    </row>
    <row r="116">
      <c r="C116" s="13"/>
    </row>
    <row r="117">
      <c r="C117" s="13"/>
    </row>
    <row r="118">
      <c r="C118" s="13"/>
    </row>
    <row r="119">
      <c r="C119" s="13"/>
    </row>
    <row r="120">
      <c r="C120" s="13"/>
    </row>
    <row r="121">
      <c r="C121" s="13"/>
    </row>
    <row r="122">
      <c r="C122" s="13"/>
    </row>
    <row r="123">
      <c r="C123" s="13"/>
    </row>
    <row r="124">
      <c r="C124" s="13"/>
    </row>
    <row r="125">
      <c r="C125" s="13"/>
    </row>
    <row r="126">
      <c r="C126" s="13"/>
    </row>
    <row r="127">
      <c r="C127" s="13"/>
    </row>
    <row r="128">
      <c r="C128" s="13"/>
    </row>
    <row r="129">
      <c r="C129" s="13"/>
    </row>
    <row r="130">
      <c r="C130" s="13"/>
    </row>
    <row r="131">
      <c r="C131" s="13"/>
    </row>
    <row r="132">
      <c r="C132" s="13"/>
    </row>
    <row r="133">
      <c r="C133" s="13"/>
    </row>
    <row r="134">
      <c r="C134" s="13"/>
    </row>
    <row r="135">
      <c r="C135" s="13"/>
    </row>
    <row r="136">
      <c r="C136" s="13"/>
    </row>
    <row r="137">
      <c r="C137" s="13"/>
    </row>
    <row r="138">
      <c r="C138" s="13"/>
    </row>
    <row r="139">
      <c r="C139" s="13"/>
    </row>
    <row r="140">
      <c r="C140" s="13"/>
    </row>
    <row r="141">
      <c r="C141" s="13"/>
    </row>
    <row r="142">
      <c r="C142" s="13"/>
    </row>
    <row r="143">
      <c r="C143" s="13"/>
    </row>
    <row r="144">
      <c r="C144" s="13"/>
    </row>
    <row r="145">
      <c r="C145" s="13"/>
    </row>
    <row r="146">
      <c r="C146" s="13"/>
    </row>
    <row r="147">
      <c r="C147" s="13"/>
    </row>
    <row r="148">
      <c r="C148" s="13"/>
    </row>
    <row r="149">
      <c r="C149" s="13"/>
    </row>
    <row r="150">
      <c r="C150" s="13"/>
    </row>
    <row r="151">
      <c r="C151" s="13"/>
    </row>
    <row r="152">
      <c r="C152" s="13"/>
    </row>
    <row r="153">
      <c r="C153" s="13"/>
    </row>
    <row r="154">
      <c r="C154" s="13"/>
    </row>
    <row r="155">
      <c r="C155" s="13"/>
    </row>
    <row r="156">
      <c r="C156" s="13"/>
    </row>
    <row r="157">
      <c r="C157" s="13"/>
    </row>
    <row r="158">
      <c r="C158" s="13"/>
    </row>
    <row r="159">
      <c r="C159" s="13"/>
    </row>
    <row r="160">
      <c r="C160" s="13"/>
    </row>
    <row r="161">
      <c r="C161" s="13"/>
    </row>
    <row r="162">
      <c r="C162" s="13"/>
    </row>
    <row r="163">
      <c r="C163" s="13"/>
    </row>
    <row r="164">
      <c r="C164" s="13"/>
    </row>
    <row r="165">
      <c r="C165" s="13"/>
    </row>
    <row r="166">
      <c r="C166" s="13"/>
    </row>
    <row r="167">
      <c r="C167" s="13"/>
    </row>
    <row r="168">
      <c r="C168" s="13"/>
    </row>
    <row r="169">
      <c r="C169" s="13"/>
    </row>
    <row r="170">
      <c r="C170" s="13"/>
    </row>
    <row r="171">
      <c r="C171" s="13"/>
    </row>
    <row r="172">
      <c r="C172" s="13"/>
    </row>
    <row r="173">
      <c r="C173" s="13"/>
    </row>
    <row r="174">
      <c r="C174" s="13"/>
    </row>
    <row r="175">
      <c r="C175" s="13"/>
    </row>
    <row r="176">
      <c r="C176" s="13"/>
    </row>
    <row r="177">
      <c r="C177" s="13"/>
    </row>
    <row r="178">
      <c r="C178" s="13"/>
    </row>
    <row r="179">
      <c r="C179" s="13"/>
    </row>
    <row r="180">
      <c r="C180" s="13"/>
    </row>
    <row r="181">
      <c r="C181" s="13"/>
    </row>
    <row r="182">
      <c r="C182" s="13"/>
    </row>
    <row r="183">
      <c r="C183" s="13"/>
    </row>
    <row r="184">
      <c r="C184" s="13"/>
    </row>
    <row r="185">
      <c r="C185" s="13"/>
    </row>
    <row r="186">
      <c r="C186" s="13"/>
    </row>
    <row r="187">
      <c r="C187" s="13"/>
    </row>
    <row r="188">
      <c r="C188" s="13"/>
    </row>
    <row r="189">
      <c r="C189" s="13"/>
    </row>
    <row r="190">
      <c r="C190" s="13"/>
    </row>
    <row r="191">
      <c r="C191" s="13"/>
    </row>
    <row r="192">
      <c r="C192" s="13"/>
    </row>
    <row r="193">
      <c r="C193" s="13"/>
    </row>
    <row r="194">
      <c r="C194" s="13"/>
    </row>
    <row r="195">
      <c r="C195" s="13"/>
    </row>
    <row r="196">
      <c r="C196" s="13"/>
    </row>
    <row r="197">
      <c r="C197" s="13"/>
    </row>
    <row r="198">
      <c r="C198" s="13"/>
    </row>
    <row r="199">
      <c r="C199" s="13"/>
    </row>
    <row r="200">
      <c r="C200" s="13"/>
    </row>
    <row r="201">
      <c r="C201" s="13"/>
    </row>
    <row r="202">
      <c r="C202" s="13"/>
    </row>
    <row r="203">
      <c r="C203" s="13"/>
    </row>
    <row r="204">
      <c r="C204" s="13"/>
    </row>
    <row r="205">
      <c r="C205" s="13"/>
    </row>
    <row r="206">
      <c r="C206" s="13"/>
    </row>
    <row r="207">
      <c r="C207" s="13"/>
    </row>
    <row r="208">
      <c r="C208" s="13"/>
    </row>
    <row r="209">
      <c r="C209" s="13"/>
    </row>
    <row r="210">
      <c r="C210" s="13"/>
    </row>
    <row r="211">
      <c r="C211" s="13"/>
    </row>
    <row r="212">
      <c r="C212" s="13"/>
    </row>
    <row r="213">
      <c r="C213" s="13"/>
    </row>
    <row r="214">
      <c r="C214" s="13"/>
    </row>
    <row r="215">
      <c r="C215" s="13"/>
    </row>
    <row r="216">
      <c r="C216" s="13"/>
    </row>
    <row r="217">
      <c r="C217" s="13"/>
    </row>
    <row r="218">
      <c r="C218" s="13"/>
    </row>
    <row r="219">
      <c r="C219" s="13"/>
    </row>
    <row r="220">
      <c r="C220" s="13"/>
    </row>
    <row r="221">
      <c r="C221" s="13"/>
    </row>
    <row r="222">
      <c r="C222" s="13"/>
    </row>
    <row r="223">
      <c r="C223" s="13"/>
    </row>
    <row r="224">
      <c r="C224" s="13"/>
    </row>
    <row r="225">
      <c r="C225" s="13"/>
    </row>
    <row r="226">
      <c r="C226" s="13"/>
    </row>
    <row r="227">
      <c r="C227" s="13"/>
    </row>
    <row r="228">
      <c r="C228" s="13"/>
    </row>
    <row r="229">
      <c r="C229" s="13"/>
    </row>
    <row r="230">
      <c r="C230" s="13"/>
    </row>
    <row r="231">
      <c r="C231" s="13"/>
    </row>
    <row r="232">
      <c r="C232" s="13"/>
    </row>
    <row r="233">
      <c r="C233" s="13"/>
    </row>
    <row r="234">
      <c r="C234" s="13"/>
    </row>
    <row r="235">
      <c r="C235" s="13"/>
    </row>
    <row r="236">
      <c r="C236" s="13"/>
    </row>
    <row r="237">
      <c r="C237" s="13"/>
    </row>
    <row r="238">
      <c r="C238" s="13"/>
    </row>
    <row r="239">
      <c r="C239" s="13"/>
    </row>
    <row r="240">
      <c r="C240" s="13"/>
    </row>
    <row r="241">
      <c r="C241" s="13"/>
    </row>
    <row r="242">
      <c r="C242" s="13"/>
    </row>
    <row r="243">
      <c r="C243" s="13"/>
    </row>
    <row r="244">
      <c r="C244" s="13"/>
    </row>
    <row r="245">
      <c r="C245" s="13"/>
    </row>
    <row r="246">
      <c r="C246" s="13"/>
    </row>
    <row r="247">
      <c r="C247" s="13"/>
    </row>
    <row r="248">
      <c r="C248" s="13"/>
    </row>
    <row r="249">
      <c r="C249" s="13"/>
    </row>
    <row r="250">
      <c r="C250" s="13"/>
    </row>
    <row r="251">
      <c r="C251" s="13"/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  <row r="1001">
      <c r="C1001" s="13"/>
    </row>
    <row r="1002">
      <c r="C1002" s="13"/>
    </row>
    <row r="1003">
      <c r="C1003" s="13"/>
    </row>
    <row r="1004">
      <c r="C1004" s="13"/>
    </row>
    <row r="1005">
      <c r="C1005" s="13"/>
    </row>
    <row r="1006">
      <c r="C1006" s="13"/>
    </row>
    <row r="1007">
      <c r="C1007" s="13"/>
    </row>
    <row r="1008">
      <c r="C1008" s="13"/>
    </row>
  </sheetData>
  <conditionalFormatting sqref="C1:C21">
    <cfRule type="containsBlanks" dxfId="0" priority="1">
      <formula>LEN(TRIM(C1))=0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.88"/>
    <col customWidth="1" min="3" max="6" width="5.5"/>
    <col customWidth="1" min="7" max="9" width="3.88"/>
    <col customWidth="1" min="11" max="11" width="12.0"/>
    <col customWidth="1" min="12" max="12" width="10.0"/>
    <col customWidth="1" min="13" max="13" width="7.63"/>
    <col customWidth="1" min="15" max="16" width="13.5"/>
  </cols>
  <sheetData>
    <row r="1">
      <c r="A1" s="2" t="s">
        <v>1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7" t="s">
        <v>2</v>
      </c>
      <c r="N3" s="10" t="str">
        <f>'基本項目'!C1</f>
        <v/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7" t="s">
        <v>21</v>
      </c>
      <c r="N4" s="14" t="str">
        <f>TEXT(N3,"yyyymm") &amp; "-" &amp; TEXT(DAY(N3),"00")</f>
        <v>189912-30</v>
      </c>
    </row>
    <row r="5">
      <c r="A5" s="15" t="str">
        <f>'基本項目'!C16</f>
        <v/>
      </c>
      <c r="J5" s="5" t="s">
        <v>23</v>
      </c>
      <c r="K5" s="4"/>
      <c r="L5" s="16"/>
      <c r="M5" s="16"/>
      <c r="N5" s="16"/>
      <c r="O5" s="16"/>
      <c r="P5" s="16"/>
    </row>
    <row r="6">
      <c r="A6" s="15" t="str">
        <f>'基本項目'!C17</f>
        <v/>
      </c>
      <c r="J6" s="4"/>
      <c r="K6" s="4"/>
      <c r="L6" s="18"/>
      <c r="M6" s="18"/>
      <c r="N6" s="19"/>
      <c r="O6" s="19"/>
      <c r="P6" s="19"/>
    </row>
    <row r="7">
      <c r="A7" s="15" t="str">
        <f>'基本項目'!C18</f>
        <v/>
      </c>
      <c r="J7" s="4"/>
      <c r="K7" s="23" t="str">
        <f>'基本項目'!C10</f>
        <v/>
      </c>
      <c r="L7" s="12"/>
      <c r="M7" s="12"/>
      <c r="N7" s="12"/>
      <c r="O7" s="12"/>
      <c r="P7" s="9"/>
    </row>
    <row r="8">
      <c r="A8" s="15" t="str">
        <f>'基本項目'!C19</f>
        <v/>
      </c>
      <c r="J8" s="4"/>
      <c r="K8" s="23" t="str">
        <f>'基本項目'!C11</f>
        <v/>
      </c>
      <c r="L8" s="12"/>
      <c r="M8" s="12"/>
      <c r="N8" s="12"/>
      <c r="O8" s="12"/>
      <c r="P8" s="9"/>
    </row>
    <row r="9">
      <c r="J9" s="27"/>
      <c r="K9" s="28" t="s">
        <v>25</v>
      </c>
      <c r="L9" s="30" t="str">
        <f>'基本項目'!C12</f>
        <v/>
      </c>
      <c r="M9" s="12"/>
      <c r="N9" s="12"/>
      <c r="O9" s="12"/>
      <c r="P9" s="9"/>
    </row>
    <row r="10">
      <c r="A10" s="31" t="s">
        <v>26</v>
      </c>
      <c r="J10" s="4"/>
      <c r="K10" s="28" t="s">
        <v>27</v>
      </c>
      <c r="L10" s="30" t="str">
        <f>'基本項目'!C13</f>
        <v/>
      </c>
      <c r="M10" s="12"/>
      <c r="N10" s="12"/>
      <c r="O10" s="12"/>
      <c r="P10" s="9"/>
    </row>
    <row r="11">
      <c r="A11" s="36" t="s">
        <v>12</v>
      </c>
      <c r="B11" s="38">
        <v>44985.0</v>
      </c>
      <c r="C11" s="12"/>
      <c r="D11" s="12"/>
      <c r="E11" s="12"/>
      <c r="F11" s="12"/>
      <c r="G11" s="12"/>
      <c r="H11" s="12"/>
      <c r="I11" s="9"/>
      <c r="J11" s="4"/>
      <c r="K11" s="28" t="s">
        <v>29</v>
      </c>
      <c r="L11" s="30" t="str">
        <f>'基本項目'!C14</f>
        <v/>
      </c>
      <c r="M11" s="12"/>
      <c r="N11" s="12"/>
      <c r="O11" s="12"/>
      <c r="P11" s="9"/>
    </row>
    <row r="12">
      <c r="A12" s="41" t="s">
        <v>11</v>
      </c>
      <c r="B12" s="43" t="str">
        <f>L9</f>
        <v/>
      </c>
      <c r="C12" s="12"/>
      <c r="D12" s="12"/>
      <c r="E12" s="12"/>
      <c r="F12" s="12"/>
      <c r="G12" s="12"/>
      <c r="H12" s="12"/>
      <c r="I12" s="9"/>
      <c r="J12" s="4"/>
      <c r="K12" s="44" t="s">
        <v>31</v>
      </c>
      <c r="L12" s="30" t="str">
        <f>'基本項目'!C15</f>
        <v/>
      </c>
      <c r="M12" s="12"/>
      <c r="N12" s="12"/>
      <c r="O12" s="12"/>
      <c r="P12" s="9"/>
    </row>
    <row r="13">
      <c r="A13" s="45" t="s">
        <v>10</v>
      </c>
      <c r="B13" s="43" t="str">
        <f>'基本項目'!C7</f>
        <v/>
      </c>
      <c r="C13" s="12"/>
      <c r="D13" s="12"/>
      <c r="E13" s="12"/>
      <c r="F13" s="12"/>
      <c r="G13" s="12"/>
      <c r="H13" s="12"/>
      <c r="I13" s="9"/>
      <c r="J13" s="4"/>
      <c r="K13" s="4"/>
      <c r="L13" s="4"/>
      <c r="M13" s="4"/>
      <c r="N13" s="4"/>
      <c r="O13" s="4"/>
      <c r="P13" s="4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</row>
    <row r="15">
      <c r="A15" s="42" t="s">
        <v>32</v>
      </c>
      <c r="B15" s="12"/>
      <c r="C15" s="12"/>
      <c r="D15" s="12"/>
      <c r="E15" s="12"/>
      <c r="F15" s="12"/>
      <c r="G15" s="12"/>
      <c r="H15" s="12"/>
      <c r="I15" s="12"/>
      <c r="J15" s="36" t="s">
        <v>34</v>
      </c>
      <c r="K15" s="36" t="s">
        <v>35</v>
      </c>
      <c r="L15" s="42" t="s">
        <v>36</v>
      </c>
      <c r="M15" s="12"/>
      <c r="N15" s="12"/>
      <c r="O15" s="12"/>
      <c r="P15" s="9"/>
    </row>
    <row r="16">
      <c r="A16" s="53" t="str">
        <f>'見積書'!A19</f>
        <v>採用研修事業サイト制作（企画・原稿・デザイン）</v>
      </c>
      <c r="B16" s="12"/>
      <c r="C16" s="12"/>
      <c r="D16" s="12"/>
      <c r="E16" s="12"/>
      <c r="F16" s="12"/>
      <c r="G16" s="12"/>
      <c r="H16" s="12"/>
      <c r="I16" s="54"/>
      <c r="J16" s="55" t="str">
        <f>'見積書'!K19</f>
        <v/>
      </c>
      <c r="K16" s="55" t="str">
        <f>'見積書'!L19</f>
        <v>個</v>
      </c>
      <c r="L16" s="56"/>
      <c r="M16" s="12"/>
      <c r="N16" s="12"/>
      <c r="O16" s="12"/>
      <c r="P16" s="9"/>
    </row>
    <row r="17">
      <c r="A17" s="53" t="str">
        <f>'見積書'!A20</f>
        <v>(内訳)</v>
      </c>
      <c r="B17" s="12"/>
      <c r="C17" s="12"/>
      <c r="D17" s="12"/>
      <c r="E17" s="12"/>
      <c r="F17" s="12"/>
      <c r="G17" s="12"/>
      <c r="H17" s="12"/>
      <c r="I17" s="54"/>
      <c r="J17" s="55" t="str">
        <f>'見積書'!K20</f>
        <v/>
      </c>
      <c r="K17" s="55" t="str">
        <f>'見積書'!L20</f>
        <v>個</v>
      </c>
      <c r="L17" s="56"/>
      <c r="M17" s="12"/>
      <c r="N17" s="12"/>
      <c r="O17" s="12"/>
      <c r="P17" s="9"/>
    </row>
    <row r="18">
      <c r="A18" s="53" t="str">
        <f>'見積書'!A21</f>
        <v>TOPページ制作</v>
      </c>
      <c r="B18" s="12"/>
      <c r="C18" s="12"/>
      <c r="D18" s="12"/>
      <c r="E18" s="12"/>
      <c r="F18" s="12"/>
      <c r="G18" s="12"/>
      <c r="H18" s="12"/>
      <c r="I18" s="54"/>
      <c r="J18" s="55">
        <f>'見積書'!K21</f>
        <v>1</v>
      </c>
      <c r="K18" s="55" t="str">
        <f>'見積書'!L21</f>
        <v>個</v>
      </c>
      <c r="L18" s="56"/>
      <c r="M18" s="12"/>
      <c r="N18" s="12"/>
      <c r="O18" s="12"/>
      <c r="P18" s="9"/>
    </row>
    <row r="19">
      <c r="A19" s="53" t="str">
        <f>'見積書'!A22</f>
        <v>資料請求ページ制作</v>
      </c>
      <c r="B19" s="12"/>
      <c r="C19" s="12"/>
      <c r="D19" s="12"/>
      <c r="E19" s="12"/>
      <c r="F19" s="12"/>
      <c r="G19" s="12"/>
      <c r="H19" s="12"/>
      <c r="I19" s="54"/>
      <c r="J19" s="55">
        <f>'見積書'!K22</f>
        <v>1</v>
      </c>
      <c r="K19" s="55" t="str">
        <f>'見積書'!L22</f>
        <v>個</v>
      </c>
      <c r="L19" s="56"/>
      <c r="M19" s="12"/>
      <c r="N19" s="12"/>
      <c r="O19" s="12"/>
      <c r="P19" s="9"/>
    </row>
    <row r="20">
      <c r="A20" s="53" t="str">
        <f>'見積書'!A23</f>
        <v>セミナー集客ページ制作</v>
      </c>
      <c r="B20" s="12"/>
      <c r="C20" s="12"/>
      <c r="D20" s="12"/>
      <c r="E20" s="12"/>
      <c r="F20" s="12"/>
      <c r="G20" s="12"/>
      <c r="H20" s="12"/>
      <c r="I20" s="54"/>
      <c r="J20" s="55">
        <f>'見積書'!K23</f>
        <v>1</v>
      </c>
      <c r="K20" s="55" t="str">
        <f>'見積書'!L23</f>
        <v>個</v>
      </c>
      <c r="L20" s="56"/>
      <c r="M20" s="12"/>
      <c r="N20" s="12"/>
      <c r="O20" s="12"/>
      <c r="P20" s="9"/>
    </row>
    <row r="21">
      <c r="A21" s="53" t="str">
        <f>'見積書'!A24</f>
        <v>オンライン研修案内用ページ制作</v>
      </c>
      <c r="B21" s="12"/>
      <c r="C21" s="12"/>
      <c r="D21" s="12"/>
      <c r="E21" s="12"/>
      <c r="F21" s="12"/>
      <c r="G21" s="12"/>
      <c r="H21" s="12"/>
      <c r="I21" s="54"/>
      <c r="J21" s="55">
        <f>'見積書'!K24</f>
        <v>3</v>
      </c>
      <c r="K21" s="55" t="str">
        <f>'見積書'!L24</f>
        <v>個</v>
      </c>
      <c r="L21" s="56"/>
      <c r="M21" s="12"/>
      <c r="N21" s="12"/>
      <c r="O21" s="12"/>
      <c r="P21" s="9"/>
    </row>
    <row r="22">
      <c r="A22" s="53" t="str">
        <f>'見積書'!A25</f>
        <v>コンサルティング案内用ページ制作</v>
      </c>
      <c r="B22" s="12"/>
      <c r="C22" s="12"/>
      <c r="D22" s="12"/>
      <c r="E22" s="12"/>
      <c r="F22" s="12"/>
      <c r="G22" s="12"/>
      <c r="H22" s="12"/>
      <c r="I22" s="54"/>
      <c r="J22" s="55">
        <f>'見積書'!K25</f>
        <v>1</v>
      </c>
      <c r="K22" s="55" t="str">
        <f>'見積書'!L25</f>
        <v>個</v>
      </c>
      <c r="L22" s="56"/>
      <c r="M22" s="12"/>
      <c r="N22" s="12"/>
      <c r="O22" s="12"/>
      <c r="P22" s="9"/>
    </row>
    <row r="23">
      <c r="A23" s="53" t="str">
        <f>'見積書'!A26</f>
        <v>お問い合わせ獲得用ページ制作</v>
      </c>
      <c r="B23" s="12"/>
      <c r="C23" s="12"/>
      <c r="D23" s="12"/>
      <c r="E23" s="12"/>
      <c r="F23" s="12"/>
      <c r="G23" s="12"/>
      <c r="H23" s="12"/>
      <c r="I23" s="54"/>
      <c r="J23" s="55">
        <f>'見積書'!K26</f>
        <v>1</v>
      </c>
      <c r="K23" s="55" t="str">
        <f>'見積書'!L26</f>
        <v>個</v>
      </c>
      <c r="L23" s="56"/>
      <c r="M23" s="12"/>
      <c r="N23" s="12"/>
      <c r="O23" s="12"/>
      <c r="P23" s="9"/>
    </row>
    <row r="24">
      <c r="A24" s="53" t="str">
        <f>'見積書'!A27</f>
        <v>お問い合わせ時配布用資料作成</v>
      </c>
      <c r="B24" s="12"/>
      <c r="C24" s="12"/>
      <c r="D24" s="12"/>
      <c r="E24" s="12"/>
      <c r="F24" s="12"/>
      <c r="G24" s="12"/>
      <c r="H24" s="12"/>
      <c r="I24" s="54"/>
      <c r="J24" s="55">
        <f>'見積書'!K27</f>
        <v>1</v>
      </c>
      <c r="K24" s="55" t="str">
        <f>'見積書'!L27</f>
        <v>個</v>
      </c>
      <c r="L24" s="56"/>
      <c r="M24" s="12"/>
      <c r="N24" s="12"/>
      <c r="O24" s="12"/>
      <c r="P24" s="9"/>
    </row>
    <row r="25">
      <c r="A25" s="53" t="str">
        <f>'見積書'!A28</f>
        <v>ブログ記事制作</v>
      </c>
      <c r="B25" s="12"/>
      <c r="C25" s="12"/>
      <c r="D25" s="12"/>
      <c r="E25" s="12"/>
      <c r="F25" s="12"/>
      <c r="G25" s="12"/>
      <c r="H25" s="12"/>
      <c r="I25" s="54"/>
      <c r="J25" s="55">
        <f>'見積書'!K28</f>
        <v>30</v>
      </c>
      <c r="K25" s="55" t="str">
        <f>'見積書'!L28</f>
        <v>個</v>
      </c>
      <c r="L25" s="56"/>
      <c r="M25" s="12"/>
      <c r="N25" s="12"/>
      <c r="O25" s="12"/>
      <c r="P25" s="9"/>
    </row>
    <row r="26">
      <c r="A26" s="53" t="str">
        <f>'見積書'!A29</f>
        <v>ウェビナー制作</v>
      </c>
      <c r="B26" s="12"/>
      <c r="C26" s="12"/>
      <c r="D26" s="12"/>
      <c r="E26" s="12"/>
      <c r="F26" s="12"/>
      <c r="G26" s="12"/>
      <c r="H26" s="12"/>
      <c r="I26" s="54"/>
      <c r="J26" s="55">
        <f>'見積書'!K29</f>
        <v>1</v>
      </c>
      <c r="K26" s="55" t="str">
        <f>'見積書'!L29</f>
        <v>個</v>
      </c>
      <c r="L26" s="56"/>
      <c r="M26" s="12"/>
      <c r="N26" s="12"/>
      <c r="O26" s="12"/>
      <c r="P26" s="9"/>
    </row>
    <row r="27">
      <c r="A27" s="53" t="str">
        <f>'見積書'!A30</f>
        <v>Easy Webinar</v>
      </c>
      <c r="B27" s="12"/>
      <c r="C27" s="12"/>
      <c r="D27" s="12"/>
      <c r="E27" s="12"/>
      <c r="F27" s="12"/>
      <c r="G27" s="12"/>
      <c r="H27" s="12"/>
      <c r="I27" s="54"/>
      <c r="J27" s="55">
        <f>'見積書'!K30</f>
        <v>1</v>
      </c>
      <c r="K27" s="55" t="str">
        <f>'見積書'!L30</f>
        <v>個</v>
      </c>
      <c r="L27" s="56"/>
      <c r="M27" s="12"/>
      <c r="N27" s="12"/>
      <c r="O27" s="12"/>
      <c r="P27" s="9"/>
    </row>
    <row r="28">
      <c r="A28" s="53" t="str">
        <f>'見積書'!A31</f>
        <v/>
      </c>
      <c r="B28" s="12"/>
      <c r="C28" s="12"/>
      <c r="D28" s="12"/>
      <c r="E28" s="12"/>
      <c r="F28" s="12"/>
      <c r="G28" s="12"/>
      <c r="H28" s="12"/>
      <c r="I28" s="54"/>
      <c r="J28" s="55" t="str">
        <f>'見積書'!K31</f>
        <v/>
      </c>
      <c r="K28" s="55" t="str">
        <f>'見積書'!L31</f>
        <v>個</v>
      </c>
      <c r="L28" s="56"/>
      <c r="M28" s="12"/>
      <c r="N28" s="12"/>
      <c r="O28" s="12"/>
      <c r="P28" s="9"/>
    </row>
    <row r="29">
      <c r="A29" s="53" t="str">
        <f>'見積書'!A32</f>
        <v/>
      </c>
      <c r="B29" s="12"/>
      <c r="C29" s="12"/>
      <c r="D29" s="12"/>
      <c r="E29" s="12"/>
      <c r="F29" s="12"/>
      <c r="G29" s="12"/>
      <c r="H29" s="12"/>
      <c r="I29" s="54"/>
      <c r="J29" s="55" t="str">
        <f>'見積書'!K32</f>
        <v/>
      </c>
      <c r="K29" s="55" t="str">
        <f>'見積書'!L32</f>
        <v>個</v>
      </c>
      <c r="L29" s="56"/>
      <c r="M29" s="12"/>
      <c r="N29" s="12"/>
      <c r="O29" s="12"/>
      <c r="P29" s="9"/>
    </row>
    <row r="30">
      <c r="A30" s="53" t="str">
        <f>'見積書'!A33</f>
        <v/>
      </c>
      <c r="B30" s="12"/>
      <c r="C30" s="12"/>
      <c r="D30" s="12"/>
      <c r="E30" s="12"/>
      <c r="F30" s="12"/>
      <c r="G30" s="12"/>
      <c r="H30" s="12"/>
      <c r="I30" s="54"/>
      <c r="J30" s="55" t="str">
        <f>'見積書'!K33</f>
        <v/>
      </c>
      <c r="K30" s="55" t="str">
        <f>'見積書'!L33</f>
        <v>個</v>
      </c>
      <c r="L30" s="56"/>
      <c r="M30" s="12"/>
      <c r="N30" s="12"/>
      <c r="O30" s="12"/>
      <c r="P30" s="9"/>
    </row>
    <row r="32">
      <c r="A32" s="69" t="s">
        <v>52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47"/>
    </row>
    <row r="33">
      <c r="A33" s="70" t="s">
        <v>11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2"/>
    </row>
    <row r="34">
      <c r="A34" s="73" t="s">
        <v>14</v>
      </c>
      <c r="B34" s="74" t="s">
        <v>55</v>
      </c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6"/>
    </row>
    <row r="35">
      <c r="A35" s="77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6"/>
    </row>
    <row r="36">
      <c r="A36" s="78"/>
      <c r="P36" s="79"/>
    </row>
    <row r="37">
      <c r="A37" s="78"/>
      <c r="P37" s="79"/>
    </row>
    <row r="38">
      <c r="A38" s="78"/>
      <c r="P38" s="79"/>
    </row>
    <row r="39">
      <c r="A39" s="78"/>
      <c r="P39" s="79"/>
    </row>
    <row r="40">
      <c r="A40" s="78"/>
      <c r="P40" s="79"/>
    </row>
    <row r="41">
      <c r="A41" s="78"/>
      <c r="P41" s="79"/>
    </row>
    <row r="42">
      <c r="A42" s="78"/>
      <c r="P42" s="79"/>
    </row>
    <row r="43">
      <c r="A43" s="78"/>
      <c r="P43" s="79"/>
    </row>
    <row r="44">
      <c r="A44" s="78"/>
      <c r="P44" s="79"/>
    </row>
    <row r="45">
      <c r="A45" s="78"/>
      <c r="P45" s="79"/>
    </row>
    <row r="46">
      <c r="A46" s="78"/>
      <c r="P46" s="79"/>
    </row>
    <row r="47">
      <c r="A47" s="78"/>
      <c r="P47" s="79"/>
    </row>
    <row r="48">
      <c r="A48" s="78"/>
      <c r="P48" s="79"/>
    </row>
    <row r="49">
      <c r="A49" s="78"/>
      <c r="P49" s="79"/>
    </row>
    <row r="50">
      <c r="A50" s="78"/>
      <c r="P50" s="79"/>
    </row>
    <row r="51">
      <c r="A51" s="78"/>
      <c r="P51" s="79"/>
    </row>
    <row r="52">
      <c r="A52" s="78"/>
      <c r="P52" s="79"/>
    </row>
    <row r="53">
      <c r="A53" s="78"/>
      <c r="P53" s="79"/>
    </row>
    <row r="54">
      <c r="A54" s="78"/>
      <c r="P54" s="79"/>
    </row>
    <row r="55">
      <c r="A55" s="78"/>
      <c r="P55" s="79"/>
    </row>
    <row r="56">
      <c r="A56" s="78"/>
      <c r="P56" s="79"/>
    </row>
    <row r="57">
      <c r="A57" s="80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2"/>
    </row>
  </sheetData>
  <mergeCells count="52">
    <mergeCell ref="A18:I18"/>
    <mergeCell ref="L18:P18"/>
    <mergeCell ref="A19:I19"/>
    <mergeCell ref="L19:P19"/>
    <mergeCell ref="A20:I20"/>
    <mergeCell ref="L20:P20"/>
    <mergeCell ref="L21:P21"/>
    <mergeCell ref="A21:I21"/>
    <mergeCell ref="A22:I22"/>
    <mergeCell ref="L22:P22"/>
    <mergeCell ref="A23:I23"/>
    <mergeCell ref="L23:P23"/>
    <mergeCell ref="A24:I24"/>
    <mergeCell ref="A25:I25"/>
    <mergeCell ref="A1:P1"/>
    <mergeCell ref="L3:M3"/>
    <mergeCell ref="N3:P3"/>
    <mergeCell ref="L4:M4"/>
    <mergeCell ref="N4:P4"/>
    <mergeCell ref="A5:I5"/>
    <mergeCell ref="A6:I6"/>
    <mergeCell ref="L10:P10"/>
    <mergeCell ref="L11:P11"/>
    <mergeCell ref="A7:I7"/>
    <mergeCell ref="K7:P7"/>
    <mergeCell ref="A8:I8"/>
    <mergeCell ref="K8:P8"/>
    <mergeCell ref="L9:P9"/>
    <mergeCell ref="A10:I10"/>
    <mergeCell ref="B11:I11"/>
    <mergeCell ref="L16:P16"/>
    <mergeCell ref="L17:P17"/>
    <mergeCell ref="B12:I12"/>
    <mergeCell ref="L12:P12"/>
    <mergeCell ref="B13:I13"/>
    <mergeCell ref="A15:I15"/>
    <mergeCell ref="L15:P15"/>
    <mergeCell ref="A16:I16"/>
    <mergeCell ref="A17:I17"/>
    <mergeCell ref="L24:P24"/>
    <mergeCell ref="L25:P25"/>
    <mergeCell ref="A29:I29"/>
    <mergeCell ref="A30:I30"/>
    <mergeCell ref="L30:P30"/>
    <mergeCell ref="A32:P32"/>
    <mergeCell ref="A26:I26"/>
    <mergeCell ref="L26:P26"/>
    <mergeCell ref="A27:I27"/>
    <mergeCell ref="L27:P27"/>
    <mergeCell ref="A28:I28"/>
    <mergeCell ref="L28:P28"/>
    <mergeCell ref="L29:P29"/>
  </mergeCells>
  <conditionalFormatting sqref="A5:I8">
    <cfRule type="containsBlanks" dxfId="0" priority="1">
      <formula>LEN(TRIM(A5))=0</formula>
    </cfRule>
  </conditionalFormatting>
  <conditionalFormatting sqref="N3:P4 K7:P12">
    <cfRule type="containsBlanks" dxfId="0" priority="2">
      <formula>LEN(TRIM(N3))=0</formula>
    </cfRule>
  </conditionalFormatting>
  <conditionalFormatting sqref="B11:I13">
    <cfRule type="containsBlanks" dxfId="0" priority="3">
      <formula>LEN(TRIM(B11))=0</formula>
    </cfRule>
  </conditionalFormatting>
  <printOptions horizontalCentered="1"/>
  <pageMargins bottom="0.75" footer="0.0" header="0.0" left="0.7" right="0.7" top="0.75"/>
  <pageSetup fitToHeight="0" paperSize="9" orientation="portrait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9" width="6.38"/>
    <col customWidth="1" min="12" max="12" width="12.0"/>
    <col customWidth="1" min="13" max="13" width="10.0"/>
    <col customWidth="1" min="14" max="14" width="7.63"/>
    <col customWidth="1" min="16" max="17" width="13.5"/>
  </cols>
  <sheetData>
    <row r="1">
      <c r="A1" s="2" t="s">
        <v>3</v>
      </c>
    </row>
    <row r="2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8" t="s">
        <v>4</v>
      </c>
      <c r="N3" s="9"/>
      <c r="O3" s="11" t="str">
        <f>'基本項目'!C2</f>
        <v/>
      </c>
      <c r="P3" s="12"/>
      <c r="Q3" s="9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8" t="s">
        <v>22</v>
      </c>
      <c r="N4" s="9"/>
      <c r="O4" s="17" t="str">
        <f>TEXT(O3,"yyyymm") &amp; "-" &amp; TEXT(DAY(O3),"00")</f>
        <v>189912-30</v>
      </c>
      <c r="P4" s="12"/>
      <c r="Q4" s="9"/>
    </row>
    <row r="5">
      <c r="A5" s="20" t="str">
        <f>'基本項目'!C10</f>
        <v/>
      </c>
      <c r="B5" s="21"/>
      <c r="C5" s="21"/>
      <c r="D5" s="21"/>
      <c r="E5" s="21"/>
      <c r="F5" s="21"/>
      <c r="G5" s="21"/>
      <c r="H5" s="21"/>
      <c r="I5" s="21"/>
      <c r="J5" s="22" t="s">
        <v>23</v>
      </c>
      <c r="K5" s="4"/>
      <c r="L5" s="4"/>
      <c r="M5" s="16"/>
      <c r="N5" s="16"/>
      <c r="O5" s="16"/>
      <c r="P5" s="16"/>
      <c r="Q5" s="16"/>
    </row>
    <row r="6">
      <c r="A6" s="25" t="str">
        <f>'基本項目'!C11</f>
        <v/>
      </c>
      <c r="J6" s="26"/>
      <c r="K6" s="4"/>
      <c r="L6" s="4"/>
      <c r="M6" s="18"/>
      <c r="N6" s="18"/>
      <c r="O6" s="19"/>
      <c r="P6" s="19"/>
      <c r="Q6" s="19"/>
    </row>
    <row r="7">
      <c r="A7" s="29" t="str">
        <f>'基本項目'!C12</f>
        <v/>
      </c>
      <c r="J7" s="26"/>
      <c r="K7" s="4"/>
      <c r="L7" s="32" t="str">
        <f>'基本項目'!C16</f>
        <v/>
      </c>
      <c r="M7" s="12"/>
      <c r="N7" s="12"/>
      <c r="O7" s="12"/>
      <c r="P7" s="12"/>
      <c r="Q7" s="9"/>
    </row>
    <row r="8">
      <c r="A8" s="33"/>
      <c r="B8" s="34"/>
      <c r="C8" s="34"/>
      <c r="D8" s="34"/>
      <c r="E8" s="34"/>
      <c r="F8" s="34"/>
      <c r="G8" s="34"/>
      <c r="H8" s="34"/>
      <c r="I8" s="34"/>
      <c r="J8" s="35"/>
      <c r="K8" s="4"/>
      <c r="L8" s="37" t="str">
        <f>'基本項目'!C17</f>
        <v/>
      </c>
      <c r="M8" s="12"/>
      <c r="N8" s="12"/>
      <c r="O8" s="12"/>
      <c r="P8" s="12"/>
      <c r="Q8" s="9"/>
    </row>
    <row r="9">
      <c r="A9" s="39" t="s">
        <v>28</v>
      </c>
      <c r="B9" s="34"/>
      <c r="C9" s="34"/>
      <c r="D9" s="34"/>
      <c r="E9" s="34"/>
      <c r="F9" s="34"/>
      <c r="G9" s="34"/>
      <c r="H9" s="34"/>
      <c r="I9" s="34"/>
      <c r="J9" s="27"/>
      <c r="K9" s="27"/>
      <c r="L9" s="28" t="s">
        <v>25</v>
      </c>
      <c r="M9" s="30" t="str">
        <f>'基本項目'!C18</f>
        <v/>
      </c>
      <c r="N9" s="12"/>
      <c r="O9" s="12"/>
      <c r="P9" s="12"/>
      <c r="Q9" s="9"/>
    </row>
    <row r="10">
      <c r="A10" s="42" t="s">
        <v>30</v>
      </c>
      <c r="B10" s="12"/>
      <c r="C10" s="12"/>
      <c r="D10" s="12"/>
      <c r="E10" s="12"/>
      <c r="F10" s="12"/>
      <c r="G10" s="12"/>
      <c r="H10" s="12"/>
      <c r="I10" s="9"/>
      <c r="J10" s="4"/>
      <c r="K10" s="4"/>
      <c r="L10" s="28" t="s">
        <v>27</v>
      </c>
      <c r="M10" s="23" t="str">
        <f>'基本項目'!C19</f>
        <v/>
      </c>
      <c r="N10" s="12"/>
      <c r="O10" s="12"/>
      <c r="P10" s="12"/>
      <c r="Q10" s="9"/>
    </row>
    <row r="11">
      <c r="A11" s="46">
        <f>P36</f>
        <v>2090000</v>
      </c>
      <c r="B11" s="21"/>
      <c r="C11" s="21"/>
      <c r="D11" s="21"/>
      <c r="E11" s="21"/>
      <c r="F11" s="21"/>
      <c r="G11" s="21"/>
      <c r="H11" s="21"/>
      <c r="I11" s="47"/>
      <c r="J11" s="4"/>
      <c r="K11" s="4"/>
      <c r="L11" s="28" t="s">
        <v>29</v>
      </c>
      <c r="M11" s="49" t="str">
        <f>'基本項目'!C20</f>
        <v/>
      </c>
      <c r="N11" s="12"/>
      <c r="O11" s="12"/>
      <c r="P11" s="12"/>
      <c r="Q11" s="9"/>
    </row>
    <row r="12">
      <c r="A12" s="50"/>
      <c r="B12" s="34"/>
      <c r="C12" s="34"/>
      <c r="D12" s="34"/>
      <c r="E12" s="34"/>
      <c r="F12" s="34"/>
      <c r="G12" s="34"/>
      <c r="H12" s="34"/>
      <c r="I12" s="51"/>
      <c r="J12" s="4"/>
      <c r="K12" s="4"/>
      <c r="L12" s="44" t="s">
        <v>33</v>
      </c>
      <c r="M12" s="52" t="str">
        <f>'基本項目'!C21</f>
        <v/>
      </c>
      <c r="N12" s="12"/>
      <c r="O12" s="12"/>
      <c r="P12" s="12"/>
      <c r="Q12" s="9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>
      <c r="A14" s="36" t="s">
        <v>12</v>
      </c>
      <c r="B14" s="38">
        <v>44985.0</v>
      </c>
      <c r="C14" s="12"/>
      <c r="D14" s="12"/>
      <c r="E14" s="12"/>
      <c r="F14" s="12"/>
      <c r="G14" s="12"/>
      <c r="H14" s="12"/>
      <c r="I14" s="12"/>
      <c r="J14" s="12"/>
      <c r="K14" s="12"/>
      <c r="L14" s="9"/>
      <c r="M14" s="4"/>
      <c r="N14" s="4"/>
      <c r="O14" s="4"/>
      <c r="P14" s="4"/>
      <c r="Q14" s="4"/>
    </row>
    <row r="15">
      <c r="A15" s="41" t="s">
        <v>11</v>
      </c>
      <c r="B15" s="57" t="str">
        <f>A7</f>
        <v/>
      </c>
      <c r="C15" s="21"/>
      <c r="D15" s="21"/>
      <c r="E15" s="21"/>
      <c r="F15" s="21"/>
      <c r="G15" s="21"/>
      <c r="H15" s="21"/>
      <c r="I15" s="21"/>
      <c r="J15" s="21"/>
      <c r="K15" s="21"/>
      <c r="L15" s="47"/>
      <c r="M15" s="4"/>
      <c r="N15" s="4"/>
      <c r="O15" s="4"/>
      <c r="P15" s="4"/>
      <c r="Q15" s="4"/>
    </row>
    <row r="16">
      <c r="A16" s="58"/>
      <c r="B16" s="50"/>
      <c r="C16" s="34"/>
      <c r="D16" s="34"/>
      <c r="E16" s="34"/>
      <c r="F16" s="34"/>
      <c r="G16" s="34"/>
      <c r="H16" s="34"/>
      <c r="I16" s="34"/>
      <c r="J16" s="34"/>
      <c r="K16" s="34"/>
      <c r="L16" s="51"/>
      <c r="M16" s="4"/>
      <c r="N16" s="4"/>
      <c r="O16" s="4"/>
      <c r="P16" s="4"/>
      <c r="Q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>
      <c r="A18" s="42" t="s">
        <v>32</v>
      </c>
      <c r="B18" s="12"/>
      <c r="C18" s="12"/>
      <c r="D18" s="12"/>
      <c r="E18" s="12"/>
      <c r="F18" s="12"/>
      <c r="G18" s="12"/>
      <c r="H18" s="12"/>
      <c r="I18" s="12"/>
      <c r="J18" s="59" t="s">
        <v>37</v>
      </c>
      <c r="K18" s="36" t="s">
        <v>34</v>
      </c>
      <c r="L18" s="36" t="s">
        <v>35</v>
      </c>
      <c r="M18" s="42" t="s">
        <v>38</v>
      </c>
      <c r="N18" s="9"/>
      <c r="O18" s="36" t="s">
        <v>39</v>
      </c>
      <c r="P18" s="42" t="s">
        <v>40</v>
      </c>
      <c r="Q18" s="9"/>
    </row>
    <row r="19">
      <c r="A19" s="23" t="s">
        <v>41</v>
      </c>
      <c r="B19" s="12"/>
      <c r="C19" s="12"/>
      <c r="D19" s="12"/>
      <c r="E19" s="12"/>
      <c r="F19" s="12"/>
      <c r="G19" s="12"/>
      <c r="H19" s="12"/>
      <c r="I19" s="54"/>
      <c r="J19" s="60" t="s">
        <v>42</v>
      </c>
      <c r="K19" s="61"/>
      <c r="L19" s="62" t="s">
        <v>43</v>
      </c>
      <c r="M19" s="63"/>
      <c r="N19" s="9"/>
      <c r="O19" s="65">
        <v>0.1</v>
      </c>
      <c r="P19" s="66">
        <f t="shared" ref="P19:P33" si="1">K19*M19</f>
        <v>0</v>
      </c>
      <c r="Q19" s="9"/>
    </row>
    <row r="20">
      <c r="A20" s="23" t="s">
        <v>44</v>
      </c>
      <c r="B20" s="12"/>
      <c r="C20" s="12"/>
      <c r="D20" s="12"/>
      <c r="E20" s="12"/>
      <c r="F20" s="12"/>
      <c r="G20" s="12"/>
      <c r="H20" s="12"/>
      <c r="I20" s="54"/>
      <c r="J20" s="60" t="s">
        <v>42</v>
      </c>
      <c r="K20" s="61"/>
      <c r="L20" s="62" t="s">
        <v>43</v>
      </c>
      <c r="M20" s="63"/>
      <c r="N20" s="9"/>
      <c r="O20" s="65">
        <v>0.1</v>
      </c>
      <c r="P20" s="66">
        <f t="shared" si="1"/>
        <v>0</v>
      </c>
      <c r="Q20" s="9"/>
    </row>
    <row r="21">
      <c r="A21" s="23" t="s">
        <v>45</v>
      </c>
      <c r="B21" s="12"/>
      <c r="C21" s="12"/>
      <c r="D21" s="12"/>
      <c r="E21" s="12"/>
      <c r="F21" s="12"/>
      <c r="G21" s="12"/>
      <c r="H21" s="12"/>
      <c r="I21" s="54"/>
      <c r="J21" s="60" t="s">
        <v>42</v>
      </c>
      <c r="K21" s="61">
        <v>1.0</v>
      </c>
      <c r="L21" s="62" t="s">
        <v>43</v>
      </c>
      <c r="M21" s="63">
        <v>200000.0</v>
      </c>
      <c r="N21" s="9"/>
      <c r="O21" s="65">
        <v>0.1</v>
      </c>
      <c r="P21" s="66">
        <f t="shared" si="1"/>
        <v>200000</v>
      </c>
      <c r="Q21" s="9"/>
    </row>
    <row r="22">
      <c r="A22" s="23" t="s">
        <v>46</v>
      </c>
      <c r="B22" s="12"/>
      <c r="C22" s="12"/>
      <c r="D22" s="12"/>
      <c r="E22" s="12"/>
      <c r="F22" s="12"/>
      <c r="G22" s="12"/>
      <c r="H22" s="12"/>
      <c r="I22" s="54"/>
      <c r="J22" s="60" t="s">
        <v>42</v>
      </c>
      <c r="K22" s="61">
        <v>1.0</v>
      </c>
      <c r="L22" s="62" t="s">
        <v>43</v>
      </c>
      <c r="M22" s="63">
        <v>200000.0</v>
      </c>
      <c r="N22" s="9"/>
      <c r="O22" s="65">
        <v>0.1</v>
      </c>
      <c r="P22" s="66">
        <f t="shared" si="1"/>
        <v>200000</v>
      </c>
      <c r="Q22" s="9"/>
    </row>
    <row r="23">
      <c r="A23" s="23" t="s">
        <v>47</v>
      </c>
      <c r="B23" s="12"/>
      <c r="C23" s="12"/>
      <c r="D23" s="12"/>
      <c r="E23" s="12"/>
      <c r="F23" s="12"/>
      <c r="G23" s="12"/>
      <c r="H23" s="12"/>
      <c r="I23" s="54"/>
      <c r="J23" s="60" t="s">
        <v>42</v>
      </c>
      <c r="K23" s="61">
        <v>1.0</v>
      </c>
      <c r="L23" s="62" t="s">
        <v>43</v>
      </c>
      <c r="M23" s="63">
        <v>100000.0</v>
      </c>
      <c r="N23" s="9"/>
      <c r="O23" s="65">
        <v>0.1</v>
      </c>
      <c r="P23" s="66">
        <f t="shared" si="1"/>
        <v>100000</v>
      </c>
      <c r="Q23" s="9"/>
    </row>
    <row r="24">
      <c r="A24" s="23" t="s">
        <v>48</v>
      </c>
      <c r="B24" s="12"/>
      <c r="C24" s="12"/>
      <c r="D24" s="12"/>
      <c r="E24" s="12"/>
      <c r="F24" s="12"/>
      <c r="G24" s="12"/>
      <c r="H24" s="12"/>
      <c r="I24" s="54"/>
      <c r="J24" s="60" t="s">
        <v>42</v>
      </c>
      <c r="K24" s="61">
        <v>3.0</v>
      </c>
      <c r="L24" s="62" t="s">
        <v>43</v>
      </c>
      <c r="M24" s="63">
        <v>100000.0</v>
      </c>
      <c r="N24" s="9"/>
      <c r="O24" s="65">
        <v>0.1</v>
      </c>
      <c r="P24" s="66">
        <f t="shared" si="1"/>
        <v>300000</v>
      </c>
      <c r="Q24" s="9"/>
    </row>
    <row r="25">
      <c r="A25" s="23" t="s">
        <v>49</v>
      </c>
      <c r="B25" s="12"/>
      <c r="C25" s="12"/>
      <c r="D25" s="12"/>
      <c r="E25" s="12"/>
      <c r="F25" s="12"/>
      <c r="G25" s="12"/>
      <c r="H25" s="12"/>
      <c r="I25" s="54"/>
      <c r="J25" s="60" t="s">
        <v>42</v>
      </c>
      <c r="K25" s="61">
        <v>1.0</v>
      </c>
      <c r="L25" s="62" t="s">
        <v>43</v>
      </c>
      <c r="M25" s="63">
        <v>100000.0</v>
      </c>
      <c r="N25" s="9"/>
      <c r="O25" s="65">
        <v>0.1</v>
      </c>
      <c r="P25" s="66">
        <f t="shared" si="1"/>
        <v>100000</v>
      </c>
      <c r="Q25" s="9"/>
    </row>
    <row r="26">
      <c r="A26" s="23" t="s">
        <v>50</v>
      </c>
      <c r="B26" s="12"/>
      <c r="C26" s="12"/>
      <c r="D26" s="12"/>
      <c r="E26" s="12"/>
      <c r="F26" s="12"/>
      <c r="G26" s="12"/>
      <c r="H26" s="12"/>
      <c r="I26" s="54"/>
      <c r="J26" s="60" t="s">
        <v>42</v>
      </c>
      <c r="K26" s="61">
        <v>1.0</v>
      </c>
      <c r="L26" s="62" t="s">
        <v>43</v>
      </c>
      <c r="M26" s="63">
        <v>100000.0</v>
      </c>
      <c r="N26" s="9"/>
      <c r="O26" s="65">
        <v>0.1</v>
      </c>
      <c r="P26" s="66">
        <f t="shared" si="1"/>
        <v>100000</v>
      </c>
      <c r="Q26" s="9"/>
    </row>
    <row r="27">
      <c r="A27" s="23" t="s">
        <v>51</v>
      </c>
      <c r="B27" s="12"/>
      <c r="C27" s="12"/>
      <c r="D27" s="12"/>
      <c r="E27" s="12"/>
      <c r="F27" s="12"/>
      <c r="G27" s="12"/>
      <c r="H27" s="12"/>
      <c r="I27" s="54"/>
      <c r="J27" s="60" t="s">
        <v>42</v>
      </c>
      <c r="K27" s="61">
        <v>1.0</v>
      </c>
      <c r="L27" s="62" t="s">
        <v>43</v>
      </c>
      <c r="M27" s="63">
        <v>300000.0</v>
      </c>
      <c r="N27" s="9"/>
      <c r="O27" s="65">
        <v>0.1</v>
      </c>
      <c r="P27" s="66">
        <f t="shared" si="1"/>
        <v>300000</v>
      </c>
      <c r="Q27" s="9"/>
    </row>
    <row r="28">
      <c r="A28" s="23" t="s">
        <v>53</v>
      </c>
      <c r="B28" s="12"/>
      <c r="C28" s="12"/>
      <c r="D28" s="12"/>
      <c r="E28" s="12"/>
      <c r="F28" s="12"/>
      <c r="G28" s="12"/>
      <c r="H28" s="12"/>
      <c r="I28" s="54"/>
      <c r="J28" s="60" t="s">
        <v>42</v>
      </c>
      <c r="K28" s="61">
        <v>30.0</v>
      </c>
      <c r="L28" s="62" t="s">
        <v>43</v>
      </c>
      <c r="M28" s="63">
        <v>10000.0</v>
      </c>
      <c r="N28" s="9"/>
      <c r="O28" s="65">
        <v>0.1</v>
      </c>
      <c r="P28" s="66">
        <f t="shared" si="1"/>
        <v>300000</v>
      </c>
      <c r="Q28" s="9"/>
    </row>
    <row r="29">
      <c r="A29" s="23" t="s">
        <v>54</v>
      </c>
      <c r="B29" s="12"/>
      <c r="C29" s="12"/>
      <c r="D29" s="12"/>
      <c r="E29" s="12"/>
      <c r="F29" s="12"/>
      <c r="G29" s="12"/>
      <c r="H29" s="12"/>
      <c r="I29" s="54"/>
      <c r="J29" s="60" t="s">
        <v>42</v>
      </c>
      <c r="K29" s="61">
        <v>1.0</v>
      </c>
      <c r="L29" s="62" t="s">
        <v>43</v>
      </c>
      <c r="M29" s="63">
        <v>200000.0</v>
      </c>
      <c r="N29" s="9"/>
      <c r="O29" s="65">
        <v>0.1</v>
      </c>
      <c r="P29" s="66">
        <f t="shared" si="1"/>
        <v>200000</v>
      </c>
      <c r="Q29" s="9"/>
    </row>
    <row r="30">
      <c r="A30" s="23" t="s">
        <v>56</v>
      </c>
      <c r="B30" s="12"/>
      <c r="C30" s="12"/>
      <c r="D30" s="12"/>
      <c r="E30" s="12"/>
      <c r="F30" s="12"/>
      <c r="G30" s="12"/>
      <c r="H30" s="12"/>
      <c r="I30" s="54"/>
      <c r="J30" s="60" t="s">
        <v>42</v>
      </c>
      <c r="K30" s="61">
        <v>1.0</v>
      </c>
      <c r="L30" s="62" t="s">
        <v>43</v>
      </c>
      <c r="M30" s="63">
        <v>100000.0</v>
      </c>
      <c r="N30" s="9"/>
      <c r="O30" s="65">
        <v>0.1</v>
      </c>
      <c r="P30" s="66">
        <f t="shared" si="1"/>
        <v>100000</v>
      </c>
      <c r="Q30" s="9"/>
    </row>
    <row r="31">
      <c r="A31" s="23"/>
      <c r="B31" s="12"/>
      <c r="C31" s="12"/>
      <c r="D31" s="12"/>
      <c r="E31" s="12"/>
      <c r="F31" s="12"/>
      <c r="G31" s="12"/>
      <c r="H31" s="12"/>
      <c r="I31" s="54"/>
      <c r="J31" s="60" t="s">
        <v>42</v>
      </c>
      <c r="K31" s="61"/>
      <c r="L31" s="62" t="s">
        <v>43</v>
      </c>
      <c r="M31" s="63"/>
      <c r="N31" s="9"/>
      <c r="O31" s="65">
        <v>0.1</v>
      </c>
      <c r="P31" s="66">
        <f t="shared" si="1"/>
        <v>0</v>
      </c>
      <c r="Q31" s="9"/>
    </row>
    <row r="32">
      <c r="A32" s="23"/>
      <c r="B32" s="12"/>
      <c r="C32" s="12"/>
      <c r="D32" s="12"/>
      <c r="E32" s="12"/>
      <c r="F32" s="12"/>
      <c r="G32" s="12"/>
      <c r="H32" s="12"/>
      <c r="I32" s="54"/>
      <c r="J32" s="60" t="s">
        <v>42</v>
      </c>
      <c r="K32" s="61"/>
      <c r="L32" s="62" t="s">
        <v>43</v>
      </c>
      <c r="M32" s="63"/>
      <c r="N32" s="9"/>
      <c r="O32" s="65">
        <v>0.1</v>
      </c>
      <c r="P32" s="66">
        <f t="shared" si="1"/>
        <v>0</v>
      </c>
      <c r="Q32" s="9"/>
    </row>
    <row r="33" hidden="1">
      <c r="A33" s="20"/>
      <c r="B33" s="21"/>
      <c r="C33" s="21"/>
      <c r="D33" s="21"/>
      <c r="E33" s="21"/>
      <c r="F33" s="21"/>
      <c r="G33" s="21"/>
      <c r="H33" s="21"/>
      <c r="I33" s="83"/>
      <c r="J33" s="60" t="s">
        <v>42</v>
      </c>
      <c r="K33" s="61"/>
      <c r="L33" s="62" t="s">
        <v>43</v>
      </c>
      <c r="M33" s="63"/>
      <c r="N33" s="9"/>
      <c r="O33" s="65">
        <v>0.1</v>
      </c>
      <c r="P33" s="66">
        <f t="shared" si="1"/>
        <v>0</v>
      </c>
      <c r="Q33" s="9"/>
    </row>
    <row r="34">
      <c r="A34" s="31"/>
      <c r="E34" s="16"/>
      <c r="F34" s="16"/>
      <c r="G34" s="16"/>
      <c r="H34" s="16"/>
      <c r="I34" s="16"/>
      <c r="J34" s="16"/>
      <c r="K34" s="4"/>
      <c r="L34" s="16"/>
      <c r="M34" s="16"/>
      <c r="N34" s="42" t="s">
        <v>57</v>
      </c>
      <c r="O34" s="9"/>
      <c r="P34" s="66">
        <f>SUM(P19:Q33)</f>
        <v>1900000</v>
      </c>
      <c r="Q34" s="9"/>
    </row>
    <row r="35">
      <c r="A35" s="84"/>
      <c r="C35" s="85"/>
      <c r="E35" s="85"/>
      <c r="G35" s="16"/>
      <c r="H35" s="16"/>
      <c r="I35" s="16"/>
      <c r="J35" s="16"/>
      <c r="K35" s="16"/>
      <c r="L35" s="16"/>
      <c r="M35" s="16"/>
      <c r="N35" s="42" t="s">
        <v>58</v>
      </c>
      <c r="O35" s="9"/>
      <c r="P35" s="66">
        <f>P34*0.1</f>
        <v>190000</v>
      </c>
      <c r="Q35" s="9"/>
    </row>
    <row r="36">
      <c r="A36" s="7"/>
      <c r="C36" s="86"/>
      <c r="E36" s="86"/>
      <c r="G36" s="16"/>
      <c r="H36" s="16"/>
      <c r="I36" s="16"/>
      <c r="J36" s="16"/>
      <c r="K36" s="16"/>
      <c r="L36" s="16"/>
      <c r="M36" s="16"/>
      <c r="N36" s="42" t="s">
        <v>59</v>
      </c>
      <c r="O36" s="9"/>
      <c r="P36" s="66">
        <f>P34+P35</f>
        <v>2090000</v>
      </c>
      <c r="Q36" s="9"/>
    </row>
    <row r="37">
      <c r="A37" s="7"/>
      <c r="C37" s="86"/>
      <c r="E37" s="8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42" t="s">
        <v>60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9"/>
    </row>
    <row r="41">
      <c r="A41" s="87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47"/>
    </row>
    <row r="42">
      <c r="A42" s="88"/>
      <c r="Q42" s="89"/>
    </row>
    <row r="43">
      <c r="A43" s="88"/>
      <c r="Q43" s="89"/>
    </row>
    <row r="44">
      <c r="A44" s="77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6"/>
    </row>
    <row r="45">
      <c r="A45" s="77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6"/>
    </row>
    <row r="46">
      <c r="A46" s="77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6"/>
    </row>
    <row r="47">
      <c r="A47" s="90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91"/>
    </row>
    <row r="48">
      <c r="A48" s="9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91"/>
    </row>
    <row r="49">
      <c r="A49" s="78"/>
      <c r="Q49" s="79"/>
    </row>
    <row r="50">
      <c r="A50" s="78"/>
      <c r="Q50" s="79"/>
    </row>
    <row r="51">
      <c r="A51" s="78"/>
      <c r="Q51" s="79"/>
    </row>
    <row r="52">
      <c r="A52" s="78"/>
      <c r="Q52" s="79"/>
    </row>
    <row r="53">
      <c r="A53" s="78"/>
      <c r="Q53" s="79"/>
    </row>
    <row r="54">
      <c r="A54" s="78"/>
      <c r="Q54" s="79"/>
    </row>
    <row r="55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2"/>
    </row>
  </sheetData>
  <mergeCells count="87">
    <mergeCell ref="M24:N24"/>
    <mergeCell ref="M25:N25"/>
    <mergeCell ref="M26:N26"/>
    <mergeCell ref="M20:N20"/>
    <mergeCell ref="M21:N21"/>
    <mergeCell ref="M22:N22"/>
    <mergeCell ref="P22:Q22"/>
    <mergeCell ref="M23:N23"/>
    <mergeCell ref="P23:Q23"/>
    <mergeCell ref="P24:Q24"/>
    <mergeCell ref="M29:N29"/>
    <mergeCell ref="M30:N30"/>
    <mergeCell ref="P30:Q30"/>
    <mergeCell ref="P33:Q33"/>
    <mergeCell ref="N34:O34"/>
    <mergeCell ref="P34:Q34"/>
    <mergeCell ref="N35:O35"/>
    <mergeCell ref="P35:Q35"/>
    <mergeCell ref="N36:O36"/>
    <mergeCell ref="P36:Q36"/>
    <mergeCell ref="P25:Q25"/>
    <mergeCell ref="P26:Q26"/>
    <mergeCell ref="M27:N27"/>
    <mergeCell ref="P27:Q27"/>
    <mergeCell ref="M28:N28"/>
    <mergeCell ref="P28:Q28"/>
    <mergeCell ref="P29:Q29"/>
    <mergeCell ref="M32:N32"/>
    <mergeCell ref="M33:N33"/>
    <mergeCell ref="A28:I28"/>
    <mergeCell ref="A29:I29"/>
    <mergeCell ref="A30:I30"/>
    <mergeCell ref="A31:I31"/>
    <mergeCell ref="M31:N31"/>
    <mergeCell ref="A32:I32"/>
    <mergeCell ref="A33:I33"/>
    <mergeCell ref="A37:B37"/>
    <mergeCell ref="C37:D37"/>
    <mergeCell ref="E37:F37"/>
    <mergeCell ref="A40:Q40"/>
    <mergeCell ref="A41:Q43"/>
    <mergeCell ref="A34:D34"/>
    <mergeCell ref="A35:B35"/>
    <mergeCell ref="C35:D35"/>
    <mergeCell ref="E35:F35"/>
    <mergeCell ref="A36:B36"/>
    <mergeCell ref="C36:D36"/>
    <mergeCell ref="E36:F36"/>
    <mergeCell ref="A1:Q1"/>
    <mergeCell ref="M3:N3"/>
    <mergeCell ref="O3:Q3"/>
    <mergeCell ref="M4:N4"/>
    <mergeCell ref="O4:Q4"/>
    <mergeCell ref="A5:I5"/>
    <mergeCell ref="A6:I6"/>
    <mergeCell ref="M11:Q11"/>
    <mergeCell ref="M12:Q12"/>
    <mergeCell ref="A7:I7"/>
    <mergeCell ref="L7:Q7"/>
    <mergeCell ref="A8:I8"/>
    <mergeCell ref="L8:Q8"/>
    <mergeCell ref="A9:I9"/>
    <mergeCell ref="M9:Q9"/>
    <mergeCell ref="M10:Q10"/>
    <mergeCell ref="A10:I10"/>
    <mergeCell ref="A11:I12"/>
    <mergeCell ref="B14:L14"/>
    <mergeCell ref="A15:A16"/>
    <mergeCell ref="B15:L16"/>
    <mergeCell ref="M18:N18"/>
    <mergeCell ref="P18:Q18"/>
    <mergeCell ref="A18:I18"/>
    <mergeCell ref="A19:I19"/>
    <mergeCell ref="M19:N19"/>
    <mergeCell ref="P19:Q19"/>
    <mergeCell ref="A20:I20"/>
    <mergeCell ref="P20:Q20"/>
    <mergeCell ref="P21:Q21"/>
    <mergeCell ref="A21:I21"/>
    <mergeCell ref="A22:I22"/>
    <mergeCell ref="A23:I23"/>
    <mergeCell ref="A24:I24"/>
    <mergeCell ref="A25:I25"/>
    <mergeCell ref="A26:I26"/>
    <mergeCell ref="A27:I27"/>
    <mergeCell ref="P31:Q31"/>
    <mergeCell ref="P32:Q32"/>
  </mergeCells>
  <conditionalFormatting sqref="A5:I7">
    <cfRule type="containsBlanks" dxfId="0" priority="1">
      <formula>LEN(TRIM(A5))=0</formula>
    </cfRule>
  </conditionalFormatting>
  <conditionalFormatting sqref="O3 P3:Q4">
    <cfRule type="containsBlanks" dxfId="0" priority="2">
      <formula>LEN(TRIM(O3))=0</formula>
    </cfRule>
  </conditionalFormatting>
  <conditionalFormatting sqref="L7:Q12">
    <cfRule type="containsBlanks" dxfId="0" priority="3">
      <formula>LEN(TRIM(L7))=0</formula>
    </cfRule>
  </conditionalFormatting>
  <conditionalFormatting sqref="B14:I16">
    <cfRule type="containsBlanks" dxfId="0" priority="4">
      <formula>LEN(TRIM(B14))=0</formula>
    </cfRule>
  </conditionalFormatting>
  <dataValidations>
    <dataValidation type="list" allowBlank="1" showErrorMessage="1" sqref="O19:O33">
      <formula1>"10%,8%"</formula1>
    </dataValidation>
  </dataValidations>
  <printOptions horizontalCentered="1"/>
  <pageMargins bottom="0.75" footer="0.0" header="0.0" left="0.7" right="0.7" top="0.75"/>
  <pageSetup fitToHeight="0" paperSize="9" orientation="portrait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0.38"/>
    <col customWidth="1" min="3" max="10" width="6.38"/>
    <col customWidth="1" min="13" max="13" width="12.0"/>
    <col customWidth="1" min="14" max="14" width="10.0"/>
    <col customWidth="1" min="15" max="15" width="7.63"/>
    <col customWidth="1" min="17" max="18" width="13.5"/>
  </cols>
  <sheetData>
    <row r="1">
      <c r="A1" s="4"/>
      <c r="B1" s="2" t="s">
        <v>7</v>
      </c>
      <c r="S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7" t="s">
        <v>5</v>
      </c>
      <c r="P3" s="10" t="str">
        <f>'基本項目'!C3</f>
        <v/>
      </c>
      <c r="S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7" t="s">
        <v>24</v>
      </c>
      <c r="P4" s="14" t="str">
        <f>TEXT(P3,"yyyymm") &amp; "-" &amp; TEXT(DAY(P3),"00")</f>
        <v>189912-30</v>
      </c>
      <c r="S4" s="4"/>
    </row>
    <row r="5">
      <c r="A5" s="4"/>
      <c r="B5" s="24" t="str">
        <f>'基本項目'!C16</f>
        <v/>
      </c>
      <c r="K5" s="5" t="s">
        <v>23</v>
      </c>
      <c r="L5" s="4"/>
      <c r="M5" s="4"/>
      <c r="N5" s="16"/>
      <c r="O5" s="16"/>
      <c r="P5" s="16"/>
      <c r="Q5" s="16"/>
      <c r="R5" s="16"/>
      <c r="S5" s="4"/>
    </row>
    <row r="6">
      <c r="A6" s="4"/>
      <c r="B6" s="24" t="str">
        <f>'基本項目'!C17</f>
        <v/>
      </c>
      <c r="K6" s="4"/>
      <c r="L6" s="4"/>
      <c r="M6" s="4"/>
      <c r="N6" s="18"/>
      <c r="O6" s="18"/>
      <c r="P6" s="19"/>
      <c r="Q6" s="19"/>
      <c r="R6" s="19"/>
      <c r="S6" s="4"/>
    </row>
    <row r="7">
      <c r="A7" s="4"/>
      <c r="B7" s="24" t="str">
        <f>'基本項目'!C18</f>
        <v/>
      </c>
      <c r="K7" s="4"/>
      <c r="L7" s="4"/>
      <c r="M7" s="32" t="str">
        <f>'基本項目'!C10</f>
        <v/>
      </c>
      <c r="N7" s="12"/>
      <c r="O7" s="12"/>
      <c r="P7" s="12"/>
      <c r="Q7" s="12"/>
      <c r="R7" s="9"/>
      <c r="S7" s="4"/>
    </row>
    <row r="8">
      <c r="A8" s="4"/>
      <c r="B8" s="40"/>
      <c r="K8" s="4"/>
      <c r="L8" s="4"/>
      <c r="M8" s="32" t="str">
        <f>'基本項目'!C11</f>
        <v/>
      </c>
      <c r="N8" s="12"/>
      <c r="O8" s="12"/>
      <c r="P8" s="12"/>
      <c r="Q8" s="12"/>
      <c r="R8" s="9"/>
      <c r="S8" s="4"/>
    </row>
    <row r="9">
      <c r="A9" s="4"/>
      <c r="B9" s="39" t="s">
        <v>28</v>
      </c>
      <c r="C9" s="34"/>
      <c r="D9" s="34"/>
      <c r="E9" s="34"/>
      <c r="F9" s="34"/>
      <c r="G9" s="34"/>
      <c r="H9" s="34"/>
      <c r="I9" s="34"/>
      <c r="J9" s="34"/>
      <c r="K9" s="27"/>
      <c r="L9" s="27"/>
      <c r="M9" s="28" t="s">
        <v>25</v>
      </c>
      <c r="N9" s="30" t="str">
        <f>'基本項目'!C12</f>
        <v/>
      </c>
      <c r="O9" s="12"/>
      <c r="P9" s="12"/>
      <c r="Q9" s="12"/>
      <c r="R9" s="9"/>
      <c r="S9" s="4"/>
    </row>
    <row r="10">
      <c r="A10" s="4"/>
      <c r="B10" s="42" t="s">
        <v>30</v>
      </c>
      <c r="C10" s="12"/>
      <c r="D10" s="12"/>
      <c r="E10" s="12"/>
      <c r="F10" s="12"/>
      <c r="G10" s="12"/>
      <c r="H10" s="12"/>
      <c r="I10" s="12"/>
      <c r="J10" s="9"/>
      <c r="K10" s="4"/>
      <c r="L10" s="4"/>
      <c r="M10" s="28" t="s">
        <v>27</v>
      </c>
      <c r="N10" s="30" t="str">
        <f>'基本項目'!C13</f>
        <v/>
      </c>
      <c r="O10" s="12"/>
      <c r="P10" s="12"/>
      <c r="Q10" s="12"/>
      <c r="R10" s="9"/>
      <c r="S10" s="4"/>
    </row>
    <row r="11">
      <c r="A11" s="4"/>
      <c r="B11" s="46">
        <f>Q36</f>
        <v>0</v>
      </c>
      <c r="C11" s="21"/>
      <c r="D11" s="21"/>
      <c r="E11" s="21"/>
      <c r="F11" s="21"/>
      <c r="G11" s="21"/>
      <c r="H11" s="21"/>
      <c r="I11" s="21"/>
      <c r="J11" s="47"/>
      <c r="K11" s="4"/>
      <c r="L11" s="4"/>
      <c r="M11" s="28" t="s">
        <v>29</v>
      </c>
      <c r="N11" s="30" t="str">
        <f>'基本項目'!C14</f>
        <v/>
      </c>
      <c r="O11" s="12"/>
      <c r="P11" s="12"/>
      <c r="Q11" s="12"/>
      <c r="R11" s="9"/>
      <c r="S11" s="4"/>
    </row>
    <row r="12">
      <c r="A12" s="4"/>
      <c r="B12" s="50"/>
      <c r="C12" s="34"/>
      <c r="D12" s="34"/>
      <c r="E12" s="34"/>
      <c r="F12" s="34"/>
      <c r="G12" s="34"/>
      <c r="H12" s="34"/>
      <c r="I12" s="34"/>
      <c r="J12" s="51"/>
      <c r="K12" s="4"/>
      <c r="L12" s="4"/>
      <c r="M12" s="44" t="s">
        <v>33</v>
      </c>
      <c r="N12" s="30" t="str">
        <f>'基本項目'!C15</f>
        <v/>
      </c>
      <c r="O12" s="12"/>
      <c r="P12" s="12"/>
      <c r="Q12" s="12"/>
      <c r="R12" s="9"/>
      <c r="S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>
      <c r="A14" s="4"/>
      <c r="B14" s="36" t="s">
        <v>12</v>
      </c>
      <c r="C14" s="38">
        <f>'見積書'!B14</f>
        <v>44985</v>
      </c>
      <c r="D14" s="12"/>
      <c r="E14" s="12"/>
      <c r="F14" s="12"/>
      <c r="G14" s="12"/>
      <c r="H14" s="12"/>
      <c r="I14" s="12"/>
      <c r="J14" s="9"/>
      <c r="K14" s="4"/>
      <c r="L14" s="4"/>
      <c r="M14" s="4"/>
      <c r="N14" s="4"/>
      <c r="O14" s="4"/>
      <c r="P14" s="4"/>
      <c r="Q14" s="4"/>
      <c r="R14" s="4"/>
      <c r="S14" s="4"/>
    </row>
    <row r="15">
      <c r="A15" s="4"/>
      <c r="B15" s="41" t="s">
        <v>11</v>
      </c>
      <c r="C15" s="64" t="str">
        <f>'基本項目'!C12</f>
        <v/>
      </c>
      <c r="D15" s="21"/>
      <c r="E15" s="21"/>
      <c r="F15" s="21"/>
      <c r="G15" s="21"/>
      <c r="H15" s="21"/>
      <c r="I15" s="21"/>
      <c r="J15" s="21"/>
      <c r="K15" s="21"/>
      <c r="L15" s="21"/>
      <c r="M15" s="47"/>
      <c r="N15" s="4"/>
      <c r="O15" s="4"/>
      <c r="P15" s="4"/>
      <c r="Q15" s="4"/>
      <c r="R15" s="4"/>
      <c r="S15" s="4"/>
    </row>
    <row r="16">
      <c r="A16" s="4"/>
      <c r="B16" s="58"/>
      <c r="C16" s="50"/>
      <c r="D16" s="34"/>
      <c r="E16" s="34"/>
      <c r="F16" s="34"/>
      <c r="G16" s="34"/>
      <c r="H16" s="34"/>
      <c r="I16" s="34"/>
      <c r="J16" s="34"/>
      <c r="K16" s="34"/>
      <c r="L16" s="34"/>
      <c r="M16" s="51"/>
      <c r="N16" s="4"/>
      <c r="O16" s="4"/>
      <c r="P16" s="4"/>
      <c r="Q16" s="4"/>
      <c r="R16" s="4"/>
      <c r="S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>
      <c r="A18" s="4"/>
      <c r="B18" s="42" t="s">
        <v>32</v>
      </c>
      <c r="C18" s="12"/>
      <c r="D18" s="12"/>
      <c r="E18" s="12"/>
      <c r="F18" s="12"/>
      <c r="G18" s="12"/>
      <c r="H18" s="12"/>
      <c r="I18" s="12"/>
      <c r="J18" s="12"/>
      <c r="K18" s="59" t="s">
        <v>37</v>
      </c>
      <c r="L18" s="36" t="s">
        <v>34</v>
      </c>
      <c r="M18" s="36" t="s">
        <v>35</v>
      </c>
      <c r="N18" s="42" t="s">
        <v>38</v>
      </c>
      <c r="O18" s="9"/>
      <c r="P18" s="36" t="s">
        <v>39</v>
      </c>
      <c r="Q18" s="42" t="s">
        <v>40</v>
      </c>
      <c r="R18" s="9"/>
      <c r="S18" s="4"/>
    </row>
    <row r="19">
      <c r="A19" s="4"/>
      <c r="B19" s="23" t="str">
        <f>'見積書'!A19</f>
        <v>採用研修事業サイト制作（企画・原稿・デザイン）</v>
      </c>
      <c r="C19" s="12"/>
      <c r="D19" s="12"/>
      <c r="E19" s="12"/>
      <c r="F19" s="12"/>
      <c r="G19" s="12"/>
      <c r="H19" s="12"/>
      <c r="I19" s="12"/>
      <c r="J19" s="54"/>
      <c r="K19" s="67" t="str">
        <f>'見積書'!J19</f>
        <v>---</v>
      </c>
      <c r="L19" s="67" t="str">
        <f>'見積書'!K19</f>
        <v/>
      </c>
      <c r="M19" s="67" t="str">
        <f>'見積書'!L19</f>
        <v>個</v>
      </c>
      <c r="N19" s="68" t="str">
        <f>'見積書'!M19</f>
        <v/>
      </c>
      <c r="O19" s="51"/>
      <c r="P19" s="65">
        <v>0.1</v>
      </c>
      <c r="Q19" s="66">
        <f t="shared" ref="Q19:Q36" si="1">L19*N19</f>
        <v>0</v>
      </c>
      <c r="R19" s="9"/>
      <c r="S19" s="4"/>
    </row>
    <row r="20">
      <c r="A20" s="4"/>
      <c r="B20" s="23" t="str">
        <f>'見積書'!A20</f>
        <v>(内訳)</v>
      </c>
      <c r="C20" s="12"/>
      <c r="D20" s="12"/>
      <c r="E20" s="12"/>
      <c r="F20" s="12"/>
      <c r="G20" s="12"/>
      <c r="H20" s="12"/>
      <c r="I20" s="12"/>
      <c r="J20" s="54"/>
      <c r="K20" s="67" t="str">
        <f>'見積書'!J20</f>
        <v>---</v>
      </c>
      <c r="L20" s="67" t="str">
        <f>'見積書'!K20</f>
        <v/>
      </c>
      <c r="M20" s="67" t="str">
        <f>'見積書'!L20</f>
        <v>個</v>
      </c>
      <c r="N20" s="68" t="str">
        <f>'見積書'!M20</f>
        <v/>
      </c>
      <c r="O20" s="51"/>
      <c r="P20" s="65">
        <v>0.1</v>
      </c>
      <c r="Q20" s="66">
        <f t="shared" si="1"/>
        <v>0</v>
      </c>
      <c r="R20" s="9"/>
      <c r="S20" s="4"/>
    </row>
    <row r="21">
      <c r="A21" s="4"/>
      <c r="B21" s="23" t="str">
        <f>'見積書'!A21</f>
        <v>TOPページ制作</v>
      </c>
      <c r="C21" s="12"/>
      <c r="D21" s="12"/>
      <c r="E21" s="12"/>
      <c r="F21" s="12"/>
      <c r="G21" s="12"/>
      <c r="H21" s="12"/>
      <c r="I21" s="12"/>
      <c r="J21" s="54"/>
      <c r="K21" s="67" t="str">
        <f>'見積書'!J21</f>
        <v>---</v>
      </c>
      <c r="L21" s="67">
        <f>'見積書'!K21</f>
        <v>1</v>
      </c>
      <c r="M21" s="67" t="str">
        <f>'見積書'!L21</f>
        <v>個</v>
      </c>
      <c r="N21" s="68">
        <f>'見積書'!M21</f>
        <v>200000</v>
      </c>
      <c r="O21" s="51"/>
      <c r="P21" s="65">
        <v>0.1</v>
      </c>
      <c r="Q21" s="66">
        <f t="shared" si="1"/>
        <v>200000</v>
      </c>
      <c r="R21" s="9"/>
      <c r="S21" s="4"/>
    </row>
    <row r="22">
      <c r="A22" s="4"/>
      <c r="B22" s="23" t="str">
        <f>'見積書'!A22</f>
        <v>資料請求ページ制作</v>
      </c>
      <c r="C22" s="12"/>
      <c r="D22" s="12"/>
      <c r="E22" s="12"/>
      <c r="F22" s="12"/>
      <c r="G22" s="12"/>
      <c r="H22" s="12"/>
      <c r="I22" s="12"/>
      <c r="J22" s="54"/>
      <c r="K22" s="67" t="str">
        <f>'見積書'!J22</f>
        <v>---</v>
      </c>
      <c r="L22" s="67">
        <f>'見積書'!K22</f>
        <v>1</v>
      </c>
      <c r="M22" s="67" t="str">
        <f>'見積書'!L22</f>
        <v>個</v>
      </c>
      <c r="N22" s="68">
        <f>'見積書'!M22</f>
        <v>200000</v>
      </c>
      <c r="O22" s="51"/>
      <c r="P22" s="65">
        <v>0.1</v>
      </c>
      <c r="Q22" s="66">
        <f t="shared" si="1"/>
        <v>200000</v>
      </c>
      <c r="R22" s="9"/>
      <c r="S22" s="4"/>
    </row>
    <row r="23">
      <c r="A23" s="4"/>
      <c r="B23" s="23" t="str">
        <f>'見積書'!A23</f>
        <v>セミナー集客ページ制作</v>
      </c>
      <c r="C23" s="12"/>
      <c r="D23" s="12"/>
      <c r="E23" s="12"/>
      <c r="F23" s="12"/>
      <c r="G23" s="12"/>
      <c r="H23" s="12"/>
      <c r="I23" s="12"/>
      <c r="J23" s="54"/>
      <c r="K23" s="67" t="str">
        <f>'見積書'!J23</f>
        <v>---</v>
      </c>
      <c r="L23" s="67">
        <f>'見積書'!K23</f>
        <v>1</v>
      </c>
      <c r="M23" s="67" t="str">
        <f>'見積書'!L23</f>
        <v>個</v>
      </c>
      <c r="N23" s="68">
        <f>'見積書'!M23</f>
        <v>100000</v>
      </c>
      <c r="O23" s="51"/>
      <c r="P23" s="65">
        <v>0.1</v>
      </c>
      <c r="Q23" s="66">
        <f t="shared" si="1"/>
        <v>100000</v>
      </c>
      <c r="R23" s="9"/>
      <c r="S23" s="4"/>
    </row>
    <row r="24">
      <c r="A24" s="4"/>
      <c r="B24" s="23" t="str">
        <f>'見積書'!A24</f>
        <v>オンライン研修案内用ページ制作</v>
      </c>
      <c r="C24" s="12"/>
      <c r="D24" s="12"/>
      <c r="E24" s="12"/>
      <c r="F24" s="12"/>
      <c r="G24" s="12"/>
      <c r="H24" s="12"/>
      <c r="I24" s="12"/>
      <c r="J24" s="54"/>
      <c r="K24" s="67" t="str">
        <f>'見積書'!J24</f>
        <v>---</v>
      </c>
      <c r="L24" s="67">
        <f>'見積書'!K24</f>
        <v>3</v>
      </c>
      <c r="M24" s="67" t="str">
        <f>'見積書'!L24</f>
        <v>個</v>
      </c>
      <c r="N24" s="68">
        <f>'見積書'!M24</f>
        <v>100000</v>
      </c>
      <c r="O24" s="51"/>
      <c r="P24" s="65">
        <v>0.1</v>
      </c>
      <c r="Q24" s="66">
        <f t="shared" si="1"/>
        <v>300000</v>
      </c>
      <c r="R24" s="9"/>
      <c r="S24" s="4"/>
    </row>
    <row r="25">
      <c r="A25" s="4"/>
      <c r="B25" s="23" t="str">
        <f>'見積書'!A25</f>
        <v>コンサルティング案内用ページ制作</v>
      </c>
      <c r="C25" s="12"/>
      <c r="D25" s="12"/>
      <c r="E25" s="12"/>
      <c r="F25" s="12"/>
      <c r="G25" s="12"/>
      <c r="H25" s="12"/>
      <c r="I25" s="12"/>
      <c r="J25" s="54"/>
      <c r="K25" s="67" t="str">
        <f>'見積書'!J25</f>
        <v>---</v>
      </c>
      <c r="L25" s="67">
        <f>'見積書'!K25</f>
        <v>1</v>
      </c>
      <c r="M25" s="67" t="str">
        <f>'見積書'!L25</f>
        <v>個</v>
      </c>
      <c r="N25" s="68">
        <f>'見積書'!M25</f>
        <v>100000</v>
      </c>
      <c r="O25" s="51"/>
      <c r="P25" s="65">
        <v>0.1</v>
      </c>
      <c r="Q25" s="66">
        <f t="shared" si="1"/>
        <v>100000</v>
      </c>
      <c r="R25" s="9"/>
      <c r="S25" s="4"/>
    </row>
    <row r="26">
      <c r="A26" s="4"/>
      <c r="B26" s="23" t="str">
        <f>'見積書'!A26</f>
        <v>お問い合わせ獲得用ページ制作</v>
      </c>
      <c r="C26" s="12"/>
      <c r="D26" s="12"/>
      <c r="E26" s="12"/>
      <c r="F26" s="12"/>
      <c r="G26" s="12"/>
      <c r="H26" s="12"/>
      <c r="I26" s="12"/>
      <c r="J26" s="54"/>
      <c r="K26" s="67" t="str">
        <f>'見積書'!J26</f>
        <v>---</v>
      </c>
      <c r="L26" s="67">
        <f>'見積書'!K26</f>
        <v>1</v>
      </c>
      <c r="M26" s="67" t="str">
        <f>'見積書'!L26</f>
        <v>個</v>
      </c>
      <c r="N26" s="68">
        <f>'見積書'!M26</f>
        <v>100000</v>
      </c>
      <c r="O26" s="51"/>
      <c r="P26" s="65">
        <v>0.1</v>
      </c>
      <c r="Q26" s="66">
        <f t="shared" si="1"/>
        <v>100000</v>
      </c>
      <c r="R26" s="9"/>
      <c r="S26" s="4"/>
    </row>
    <row r="27">
      <c r="A27" s="4"/>
      <c r="B27" s="23" t="str">
        <f>'見積書'!A27</f>
        <v>お問い合わせ時配布用資料作成</v>
      </c>
      <c r="C27" s="12"/>
      <c r="D27" s="12"/>
      <c r="E27" s="12"/>
      <c r="F27" s="12"/>
      <c r="G27" s="12"/>
      <c r="H27" s="12"/>
      <c r="I27" s="12"/>
      <c r="J27" s="54"/>
      <c r="K27" s="67" t="str">
        <f>'見積書'!J27</f>
        <v>---</v>
      </c>
      <c r="L27" s="67">
        <f>'見積書'!K27</f>
        <v>1</v>
      </c>
      <c r="M27" s="67" t="str">
        <f>'見積書'!L27</f>
        <v>個</v>
      </c>
      <c r="N27" s="68">
        <f>'見積書'!M27</f>
        <v>300000</v>
      </c>
      <c r="O27" s="51"/>
      <c r="P27" s="65">
        <v>0.1</v>
      </c>
      <c r="Q27" s="66">
        <f t="shared" si="1"/>
        <v>300000</v>
      </c>
      <c r="R27" s="9"/>
      <c r="S27" s="4"/>
    </row>
    <row r="28">
      <c r="A28" s="4"/>
      <c r="B28" s="23" t="str">
        <f>'見積書'!A28</f>
        <v>ブログ記事制作</v>
      </c>
      <c r="C28" s="12"/>
      <c r="D28" s="12"/>
      <c r="E28" s="12"/>
      <c r="F28" s="12"/>
      <c r="G28" s="12"/>
      <c r="H28" s="12"/>
      <c r="I28" s="12"/>
      <c r="J28" s="54"/>
      <c r="K28" s="67" t="str">
        <f>'見積書'!J28</f>
        <v>---</v>
      </c>
      <c r="L28" s="67">
        <f>'見積書'!K28</f>
        <v>30</v>
      </c>
      <c r="M28" s="67" t="str">
        <f>'見積書'!L28</f>
        <v>個</v>
      </c>
      <c r="N28" s="68">
        <f>'見積書'!M28</f>
        <v>10000</v>
      </c>
      <c r="O28" s="51"/>
      <c r="P28" s="65">
        <v>0.1</v>
      </c>
      <c r="Q28" s="66">
        <f t="shared" si="1"/>
        <v>300000</v>
      </c>
      <c r="R28" s="9"/>
      <c r="S28" s="4"/>
    </row>
    <row r="29">
      <c r="A29" s="4"/>
      <c r="B29" s="23" t="str">
        <f>'見積書'!A29</f>
        <v>ウェビナー制作</v>
      </c>
      <c r="C29" s="12"/>
      <c r="D29" s="12"/>
      <c r="E29" s="12"/>
      <c r="F29" s="12"/>
      <c r="G29" s="12"/>
      <c r="H29" s="12"/>
      <c r="I29" s="12"/>
      <c r="J29" s="54"/>
      <c r="K29" s="67" t="str">
        <f>'見積書'!J29</f>
        <v>---</v>
      </c>
      <c r="L29" s="67">
        <f>'見積書'!K29</f>
        <v>1</v>
      </c>
      <c r="M29" s="67" t="str">
        <f>'見積書'!L29</f>
        <v>個</v>
      </c>
      <c r="N29" s="68">
        <f>'見積書'!M29</f>
        <v>200000</v>
      </c>
      <c r="O29" s="51"/>
      <c r="P29" s="65">
        <v>0.1</v>
      </c>
      <c r="Q29" s="66">
        <f t="shared" si="1"/>
        <v>200000</v>
      </c>
      <c r="R29" s="9"/>
      <c r="S29" s="4"/>
    </row>
    <row r="30">
      <c r="A30" s="4"/>
      <c r="B30" s="23" t="str">
        <f>'見積書'!A30</f>
        <v>Easy Webinar</v>
      </c>
      <c r="C30" s="12"/>
      <c r="D30" s="12"/>
      <c r="E30" s="12"/>
      <c r="F30" s="12"/>
      <c r="G30" s="12"/>
      <c r="H30" s="12"/>
      <c r="I30" s="12"/>
      <c r="J30" s="54"/>
      <c r="K30" s="67" t="str">
        <f>'見積書'!J30</f>
        <v>---</v>
      </c>
      <c r="L30" s="67">
        <f>'見積書'!K30</f>
        <v>1</v>
      </c>
      <c r="M30" s="67" t="str">
        <f>'見積書'!L30</f>
        <v>個</v>
      </c>
      <c r="N30" s="68">
        <f>'見積書'!M30</f>
        <v>100000</v>
      </c>
      <c r="O30" s="51"/>
      <c r="P30" s="65">
        <v>0.1</v>
      </c>
      <c r="Q30" s="66">
        <f t="shared" si="1"/>
        <v>100000</v>
      </c>
      <c r="R30" s="9"/>
      <c r="S30" s="4"/>
    </row>
    <row r="31">
      <c r="A31" s="4"/>
      <c r="B31" s="23" t="str">
        <f>'見積書'!A31</f>
        <v/>
      </c>
      <c r="C31" s="12"/>
      <c r="D31" s="12"/>
      <c r="E31" s="12"/>
      <c r="F31" s="12"/>
      <c r="G31" s="12"/>
      <c r="H31" s="12"/>
      <c r="I31" s="12"/>
      <c r="J31" s="54"/>
      <c r="K31" s="67" t="str">
        <f>'見積書'!J31</f>
        <v>---</v>
      </c>
      <c r="L31" s="67" t="str">
        <f>'見積書'!K31</f>
        <v/>
      </c>
      <c r="M31" s="67" t="str">
        <f>'見積書'!L31</f>
        <v>個</v>
      </c>
      <c r="N31" s="68" t="str">
        <f>'見積書'!M31</f>
        <v/>
      </c>
      <c r="O31" s="51"/>
      <c r="P31" s="65">
        <v>0.1</v>
      </c>
      <c r="Q31" s="66">
        <f t="shared" si="1"/>
        <v>0</v>
      </c>
      <c r="R31" s="9"/>
      <c r="S31" s="4"/>
    </row>
    <row r="32" hidden="1">
      <c r="A32" s="4"/>
      <c r="B32" s="23" t="str">
        <f>'見積書'!A32</f>
        <v/>
      </c>
      <c r="C32" s="12"/>
      <c r="D32" s="12"/>
      <c r="E32" s="12"/>
      <c r="F32" s="12"/>
      <c r="G32" s="12"/>
      <c r="H32" s="12"/>
      <c r="I32" s="12"/>
      <c r="J32" s="54"/>
      <c r="K32" s="67" t="str">
        <f>'見積書'!J32</f>
        <v>---</v>
      </c>
      <c r="L32" s="67" t="str">
        <f>'見積書'!K32</f>
        <v/>
      </c>
      <c r="M32" s="67" t="str">
        <f>'見積書'!L32</f>
        <v>個</v>
      </c>
      <c r="N32" s="68" t="str">
        <f>'見積書'!M32</f>
        <v/>
      </c>
      <c r="O32" s="51"/>
      <c r="P32" s="65">
        <v>0.1</v>
      </c>
      <c r="Q32" s="66">
        <f t="shared" si="1"/>
        <v>0</v>
      </c>
      <c r="R32" s="9"/>
      <c r="S32" s="4"/>
    </row>
    <row r="33" hidden="1">
      <c r="A33" s="4"/>
      <c r="B33" s="20" t="str">
        <f>'見積書'!A33</f>
        <v/>
      </c>
      <c r="C33" s="21"/>
      <c r="D33" s="21"/>
      <c r="E33" s="21"/>
      <c r="F33" s="21"/>
      <c r="G33" s="21"/>
      <c r="H33" s="21"/>
      <c r="I33" s="21"/>
      <c r="J33" s="83"/>
      <c r="K33" s="67" t="str">
        <f>'見積書'!J33</f>
        <v>---</v>
      </c>
      <c r="L33" s="67" t="str">
        <f>'見積書'!K33</f>
        <v/>
      </c>
      <c r="M33" s="67" t="str">
        <f>'見積書'!L33</f>
        <v>個</v>
      </c>
      <c r="N33" s="68" t="str">
        <f>'見積書'!M33</f>
        <v/>
      </c>
      <c r="O33" s="51"/>
      <c r="P33" s="65">
        <v>0.1</v>
      </c>
      <c r="Q33" s="66">
        <f t="shared" si="1"/>
        <v>0</v>
      </c>
      <c r="R33" s="9"/>
      <c r="S33" s="4"/>
    </row>
    <row r="34">
      <c r="A34" s="4"/>
      <c r="B34" s="31"/>
      <c r="F34" s="16"/>
      <c r="G34" s="16"/>
      <c r="H34" s="16"/>
      <c r="I34" s="16"/>
      <c r="J34" s="16"/>
      <c r="K34" s="16"/>
      <c r="L34" s="4"/>
      <c r="M34" s="16"/>
      <c r="N34" s="16"/>
      <c r="O34" s="42" t="s">
        <v>57</v>
      </c>
      <c r="P34" s="9"/>
      <c r="Q34" s="66">
        <f t="shared" si="1"/>
        <v>0</v>
      </c>
      <c r="R34" s="9"/>
      <c r="S34" s="4"/>
    </row>
    <row r="35">
      <c r="A35" s="4"/>
      <c r="B35" s="48"/>
      <c r="D35" s="48"/>
      <c r="F35" s="48"/>
      <c r="H35" s="16"/>
      <c r="I35" s="16"/>
      <c r="J35" s="16"/>
      <c r="K35" s="16"/>
      <c r="L35" s="16"/>
      <c r="M35" s="16"/>
      <c r="N35" s="16"/>
      <c r="O35" s="42" t="s">
        <v>58</v>
      </c>
      <c r="P35" s="9"/>
      <c r="Q35" s="66">
        <f t="shared" si="1"/>
        <v>0</v>
      </c>
      <c r="R35" s="9"/>
      <c r="S35" s="4"/>
    </row>
    <row r="36">
      <c r="A36" s="4"/>
      <c r="B36" s="7"/>
      <c r="D36" s="86"/>
      <c r="F36" s="86"/>
      <c r="H36" s="16"/>
      <c r="I36" s="16"/>
      <c r="J36" s="16"/>
      <c r="K36" s="16"/>
      <c r="L36" s="16"/>
      <c r="M36" s="16"/>
      <c r="N36" s="16"/>
      <c r="O36" s="42" t="s">
        <v>59</v>
      </c>
      <c r="P36" s="9"/>
      <c r="Q36" s="66">
        <f t="shared" si="1"/>
        <v>0</v>
      </c>
      <c r="R36" s="9"/>
      <c r="S36" s="4"/>
    </row>
    <row r="37">
      <c r="A37" s="4"/>
      <c r="B37" s="7"/>
      <c r="D37" s="86"/>
      <c r="F37" s="8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4"/>
    </row>
    <row r="38">
      <c r="A38" s="4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>
      <c r="A40" s="4"/>
      <c r="B40" s="69" t="s">
        <v>60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47"/>
      <c r="S40" s="4"/>
    </row>
    <row r="41" ht="15.0" customHeight="1">
      <c r="A41" s="4"/>
      <c r="B41" s="87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47"/>
      <c r="S41" s="4"/>
    </row>
    <row r="42">
      <c r="A42" s="4"/>
      <c r="B42" s="88"/>
      <c r="R42" s="89"/>
      <c r="S42" s="4"/>
    </row>
    <row r="43">
      <c r="A43" s="4"/>
      <c r="B43" s="88"/>
      <c r="R43" s="89"/>
      <c r="S43" s="4"/>
    </row>
    <row r="44">
      <c r="A44" s="4"/>
      <c r="B44" s="77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6"/>
      <c r="S44" s="4"/>
    </row>
    <row r="45">
      <c r="A45" s="4"/>
      <c r="B45" s="77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6"/>
      <c r="S45" s="4"/>
    </row>
    <row r="46">
      <c r="A46" s="4"/>
      <c r="B46" s="77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6"/>
      <c r="S46" s="4"/>
    </row>
    <row r="47">
      <c r="A47" s="4"/>
      <c r="B47" s="90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91"/>
      <c r="S47" s="4"/>
    </row>
    <row r="48">
      <c r="A48" s="4"/>
      <c r="B48" s="90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91"/>
      <c r="S48" s="4"/>
    </row>
    <row r="49">
      <c r="B49" s="78"/>
      <c r="R49" s="79"/>
    </row>
    <row r="50">
      <c r="B50" s="78"/>
      <c r="R50" s="79"/>
    </row>
    <row r="51">
      <c r="B51" s="78"/>
      <c r="R51" s="79"/>
    </row>
    <row r="52">
      <c r="B52" s="78"/>
      <c r="R52" s="79"/>
    </row>
    <row r="53">
      <c r="B53" s="78"/>
      <c r="R53" s="79"/>
    </row>
    <row r="54">
      <c r="B54" s="78"/>
      <c r="R54" s="79"/>
    </row>
    <row r="55">
      <c r="B55" s="80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2"/>
    </row>
  </sheetData>
  <mergeCells count="87">
    <mergeCell ref="N24:O24"/>
    <mergeCell ref="N25:O25"/>
    <mergeCell ref="N26:O26"/>
    <mergeCell ref="N20:O20"/>
    <mergeCell ref="N21:O21"/>
    <mergeCell ref="N22:O22"/>
    <mergeCell ref="Q22:R22"/>
    <mergeCell ref="N23:O23"/>
    <mergeCell ref="Q23:R23"/>
    <mergeCell ref="Q24:R24"/>
    <mergeCell ref="N29:O29"/>
    <mergeCell ref="N30:O30"/>
    <mergeCell ref="Q30:R30"/>
    <mergeCell ref="Q33:R33"/>
    <mergeCell ref="O34:P34"/>
    <mergeCell ref="Q34:R34"/>
    <mergeCell ref="O35:P35"/>
    <mergeCell ref="Q35:R35"/>
    <mergeCell ref="O36:P36"/>
    <mergeCell ref="Q36:R36"/>
    <mergeCell ref="Q25:R25"/>
    <mergeCell ref="Q26:R26"/>
    <mergeCell ref="N27:O27"/>
    <mergeCell ref="Q27:R27"/>
    <mergeCell ref="N28:O28"/>
    <mergeCell ref="Q28:R28"/>
    <mergeCell ref="Q29:R29"/>
    <mergeCell ref="N32:O32"/>
    <mergeCell ref="N33:O33"/>
    <mergeCell ref="B28:J28"/>
    <mergeCell ref="B29:J29"/>
    <mergeCell ref="B30:J30"/>
    <mergeCell ref="B31:J31"/>
    <mergeCell ref="N31:O31"/>
    <mergeCell ref="B32:J32"/>
    <mergeCell ref="B33:J33"/>
    <mergeCell ref="B37:C37"/>
    <mergeCell ref="D37:E37"/>
    <mergeCell ref="F37:G37"/>
    <mergeCell ref="B40:R40"/>
    <mergeCell ref="B41:R43"/>
    <mergeCell ref="B34:E34"/>
    <mergeCell ref="B35:C35"/>
    <mergeCell ref="D35:E35"/>
    <mergeCell ref="F35:G35"/>
    <mergeCell ref="B36:C36"/>
    <mergeCell ref="D36:E36"/>
    <mergeCell ref="F36:G36"/>
    <mergeCell ref="B1:R1"/>
    <mergeCell ref="N3:O3"/>
    <mergeCell ref="P3:R3"/>
    <mergeCell ref="N4:O4"/>
    <mergeCell ref="P4:R4"/>
    <mergeCell ref="B5:J5"/>
    <mergeCell ref="B6:J6"/>
    <mergeCell ref="N11:R11"/>
    <mergeCell ref="N12:R12"/>
    <mergeCell ref="B7:J7"/>
    <mergeCell ref="M7:R7"/>
    <mergeCell ref="B8:J8"/>
    <mergeCell ref="M8:R8"/>
    <mergeCell ref="B9:J9"/>
    <mergeCell ref="N9:R9"/>
    <mergeCell ref="N10:R10"/>
    <mergeCell ref="B10:J10"/>
    <mergeCell ref="B11:J12"/>
    <mergeCell ref="C14:J14"/>
    <mergeCell ref="B15:B16"/>
    <mergeCell ref="C15:M16"/>
    <mergeCell ref="N18:O18"/>
    <mergeCell ref="Q18:R18"/>
    <mergeCell ref="B18:J18"/>
    <mergeCell ref="B19:J19"/>
    <mergeCell ref="N19:O19"/>
    <mergeCell ref="Q19:R19"/>
    <mergeCell ref="B20:J20"/>
    <mergeCell ref="Q20:R20"/>
    <mergeCell ref="Q21:R21"/>
    <mergeCell ref="B21:J21"/>
    <mergeCell ref="B22:J22"/>
    <mergeCell ref="B23:J23"/>
    <mergeCell ref="B24:J24"/>
    <mergeCell ref="B25:J25"/>
    <mergeCell ref="B26:J26"/>
    <mergeCell ref="B27:J27"/>
    <mergeCell ref="Q31:R31"/>
    <mergeCell ref="Q32:R32"/>
  </mergeCells>
  <conditionalFormatting sqref="C14:J14">
    <cfRule type="containsBlanks" dxfId="0" priority="1">
      <formula>LEN(TRIM(C14))=0</formula>
    </cfRule>
  </conditionalFormatting>
  <conditionalFormatting sqref="B5:J7">
    <cfRule type="containsBlanks" dxfId="0" priority="2">
      <formula>LEN(TRIM(B5))=0</formula>
    </cfRule>
  </conditionalFormatting>
  <conditionalFormatting sqref="P3 Q3:R4">
    <cfRule type="containsBlanks" dxfId="0" priority="3">
      <formula>LEN(TRIM(P3))=0</formula>
    </cfRule>
  </conditionalFormatting>
  <dataValidations>
    <dataValidation type="list" allowBlank="1" showErrorMessage="1" sqref="P19:P33">
      <formula1>"10%,8%"</formula1>
    </dataValidation>
  </dataValidations>
  <printOptions horizontalCentered="1"/>
  <pageMargins bottom="0.75" footer="0.0" header="0.0" left="0.7" right="0.7" top="0.75"/>
  <pageSetup fitToHeight="0" paperSize="9" orientation="portrait" pageOrder="overThenDown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9" width="6.38"/>
    <col customWidth="1" min="12" max="12" width="12.0"/>
    <col customWidth="1" min="13" max="13" width="10.0"/>
    <col customWidth="1" min="14" max="14" width="7.63"/>
    <col customWidth="1" min="16" max="17" width="9.38"/>
  </cols>
  <sheetData>
    <row r="1">
      <c r="A1" s="2" t="s">
        <v>61</v>
      </c>
    </row>
    <row r="2">
      <c r="A2" s="4" t="str">
        <f>'見積書'!A2</f>
        <v/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7" t="s">
        <v>6</v>
      </c>
      <c r="O3" s="92" t="str">
        <f>'見積書'!O3</f>
        <v/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7" t="s">
        <v>62</v>
      </c>
      <c r="O4" s="93" t="str">
        <f>'見積書'!O4</f>
        <v>189912-30</v>
      </c>
    </row>
    <row r="5">
      <c r="A5" s="4" t="str">
        <f>'見積書'!A5</f>
        <v/>
      </c>
      <c r="J5" s="5" t="s">
        <v>23</v>
      </c>
      <c r="K5" s="4"/>
      <c r="L5" s="4"/>
      <c r="M5" s="16"/>
      <c r="N5" s="16"/>
      <c r="O5" s="16"/>
      <c r="P5" s="16"/>
      <c r="Q5" s="16"/>
    </row>
    <row r="6">
      <c r="A6" s="94" t="str">
        <f>'基本項目'!C11</f>
        <v/>
      </c>
      <c r="J6" s="4"/>
      <c r="K6" s="4"/>
      <c r="L6" s="4"/>
      <c r="M6" s="18"/>
      <c r="N6" s="18"/>
      <c r="O6" s="19"/>
      <c r="P6" s="19"/>
      <c r="Q6" s="19"/>
    </row>
    <row r="7">
      <c r="A7" s="95" t="str">
        <f>'基本項目'!C12</f>
        <v/>
      </c>
      <c r="J7" s="4"/>
      <c r="K7" s="4"/>
      <c r="L7" s="4" t="str">
        <f>'見積書'!L7</f>
        <v/>
      </c>
    </row>
    <row r="8">
      <c r="A8" s="40"/>
      <c r="J8" s="4"/>
      <c r="K8" s="4"/>
      <c r="L8" s="4" t="str">
        <f>'見積書'!L8</f>
        <v/>
      </c>
    </row>
    <row r="9">
      <c r="A9" s="39" t="s">
        <v>28</v>
      </c>
      <c r="B9" s="34"/>
      <c r="C9" s="34"/>
      <c r="D9" s="34"/>
      <c r="E9" s="34"/>
      <c r="F9" s="34"/>
      <c r="G9" s="34"/>
      <c r="H9" s="34"/>
      <c r="I9" s="34"/>
      <c r="J9" s="27"/>
      <c r="K9" s="27"/>
      <c r="L9" s="94" t="s">
        <v>25</v>
      </c>
      <c r="M9" s="4" t="str">
        <f>'見積書'!M9</f>
        <v/>
      </c>
    </row>
    <row r="10">
      <c r="A10" s="42" t="s">
        <v>30</v>
      </c>
      <c r="B10" s="12"/>
      <c r="C10" s="12"/>
      <c r="D10" s="12"/>
      <c r="E10" s="12"/>
      <c r="F10" s="12"/>
      <c r="G10" s="12"/>
      <c r="H10" s="12"/>
      <c r="I10" s="9"/>
      <c r="J10" s="4"/>
      <c r="K10" s="4"/>
      <c r="L10" s="94" t="s">
        <v>27</v>
      </c>
      <c r="M10" s="4" t="str">
        <f>'見積書'!M10</f>
        <v/>
      </c>
    </row>
    <row r="11">
      <c r="A11" s="46">
        <f>P36</f>
        <v>2090000</v>
      </c>
      <c r="B11" s="21"/>
      <c r="C11" s="21"/>
      <c r="D11" s="21"/>
      <c r="E11" s="21"/>
      <c r="F11" s="21"/>
      <c r="G11" s="21"/>
      <c r="H11" s="21"/>
      <c r="I11" s="47"/>
      <c r="J11" s="4"/>
      <c r="K11" s="4"/>
      <c r="L11" s="94" t="s">
        <v>29</v>
      </c>
      <c r="M11" s="4" t="str">
        <f>'見積書'!M11</f>
        <v/>
      </c>
    </row>
    <row r="12">
      <c r="A12" s="50"/>
      <c r="B12" s="34"/>
      <c r="C12" s="34"/>
      <c r="D12" s="34"/>
      <c r="E12" s="34"/>
      <c r="F12" s="34"/>
      <c r="G12" s="34"/>
      <c r="H12" s="34"/>
      <c r="I12" s="51"/>
      <c r="J12" s="4"/>
      <c r="K12" s="4"/>
      <c r="L12" s="5" t="s">
        <v>33</v>
      </c>
      <c r="M12" s="4" t="str">
        <f>'見積書'!M12</f>
        <v/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>
      <c r="A14" s="36" t="s">
        <v>12</v>
      </c>
      <c r="B14" s="96">
        <f>'見積書'!B14</f>
        <v>44985</v>
      </c>
      <c r="J14" s="4"/>
      <c r="K14" s="4"/>
      <c r="L14" s="4"/>
      <c r="M14" s="4"/>
      <c r="N14" s="4"/>
      <c r="O14" s="4"/>
      <c r="P14" s="4"/>
      <c r="Q14" s="4"/>
    </row>
    <row r="15">
      <c r="A15" s="41" t="s">
        <v>11</v>
      </c>
      <c r="B15" s="4" t="str">
        <f>'見積書'!B15</f>
        <v/>
      </c>
      <c r="J15" s="4"/>
      <c r="K15" s="4"/>
      <c r="L15" s="4"/>
      <c r="M15" s="4"/>
      <c r="N15" s="4"/>
      <c r="O15" s="4"/>
      <c r="P15" s="4"/>
      <c r="Q15" s="4"/>
    </row>
    <row r="16">
      <c r="A16" s="58"/>
      <c r="J16" s="4"/>
      <c r="K16" s="4"/>
      <c r="L16" s="4"/>
      <c r="M16" s="4"/>
      <c r="N16" s="4"/>
      <c r="O16" s="4"/>
      <c r="P16" s="4"/>
      <c r="Q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>
      <c r="A18" s="42" t="s">
        <v>32</v>
      </c>
      <c r="B18" s="12"/>
      <c r="C18" s="12"/>
      <c r="D18" s="12"/>
      <c r="E18" s="12"/>
      <c r="F18" s="12"/>
      <c r="G18" s="12"/>
      <c r="H18" s="12"/>
      <c r="I18" s="12"/>
      <c r="J18" s="59" t="s">
        <v>37</v>
      </c>
      <c r="K18" s="36" t="s">
        <v>34</v>
      </c>
      <c r="L18" s="36" t="s">
        <v>35</v>
      </c>
      <c r="M18" s="42" t="s">
        <v>38</v>
      </c>
      <c r="N18" s="9"/>
      <c r="O18" s="36" t="s">
        <v>39</v>
      </c>
      <c r="P18" s="42" t="s">
        <v>40</v>
      </c>
      <c r="Q18" s="9"/>
    </row>
    <row r="19">
      <c r="A19" s="52" t="str">
        <f>'見積書'!A19</f>
        <v>採用研修事業サイト制作（企画・原稿・デザイン）</v>
      </c>
      <c r="B19" s="12"/>
      <c r="C19" s="12"/>
      <c r="D19" s="12"/>
      <c r="E19" s="12"/>
      <c r="F19" s="12"/>
      <c r="G19" s="12"/>
      <c r="H19" s="12"/>
      <c r="I19" s="9"/>
      <c r="J19" s="97" t="str">
        <f>'見積書'!J19</f>
        <v>---</v>
      </c>
      <c r="K19" s="61" t="str">
        <f>'見積書'!K19</f>
        <v/>
      </c>
      <c r="L19" s="62" t="str">
        <f>'見積書'!L19</f>
        <v>個</v>
      </c>
      <c r="M19" s="63" t="str">
        <f>'見積書'!M19</f>
        <v/>
      </c>
      <c r="N19" s="9"/>
      <c r="O19" s="65">
        <v>0.1</v>
      </c>
      <c r="P19" s="63">
        <f t="shared" ref="P19:P33" si="1">K19*M19</f>
        <v>0</v>
      </c>
      <c r="Q19" s="9"/>
    </row>
    <row r="20">
      <c r="A20" s="52" t="str">
        <f>'見積書'!A20</f>
        <v>(内訳)</v>
      </c>
      <c r="B20" s="12"/>
      <c r="C20" s="12"/>
      <c r="D20" s="12"/>
      <c r="E20" s="12"/>
      <c r="F20" s="12"/>
      <c r="G20" s="12"/>
      <c r="H20" s="12"/>
      <c r="I20" s="9"/>
      <c r="J20" s="62" t="str">
        <f>'見積書'!J20</f>
        <v>---</v>
      </c>
      <c r="K20" s="61" t="str">
        <f>'見積書'!K20</f>
        <v/>
      </c>
      <c r="L20" s="62" t="str">
        <f>'見積書'!L20</f>
        <v>個</v>
      </c>
      <c r="M20" s="63" t="str">
        <f>'見積書'!M20</f>
        <v/>
      </c>
      <c r="N20" s="9"/>
      <c r="O20" s="65">
        <v>0.1</v>
      </c>
      <c r="P20" s="63">
        <f t="shared" si="1"/>
        <v>0</v>
      </c>
      <c r="Q20" s="9"/>
    </row>
    <row r="21">
      <c r="A21" s="52" t="str">
        <f>'見積書'!A21</f>
        <v>TOPページ制作</v>
      </c>
      <c r="B21" s="12"/>
      <c r="C21" s="12"/>
      <c r="D21" s="12"/>
      <c r="E21" s="12"/>
      <c r="F21" s="12"/>
      <c r="G21" s="12"/>
      <c r="H21" s="12"/>
      <c r="I21" s="9"/>
      <c r="J21" s="100" t="str">
        <f>'見積書'!J21</f>
        <v>---</v>
      </c>
      <c r="K21" s="61">
        <f>'見積書'!K21</f>
        <v>1</v>
      </c>
      <c r="L21" s="62" t="str">
        <f>'見積書'!L21</f>
        <v>個</v>
      </c>
      <c r="M21" s="63">
        <f>'見積書'!M21</f>
        <v>200000</v>
      </c>
      <c r="N21" s="9"/>
      <c r="O21" s="65">
        <v>0.1</v>
      </c>
      <c r="P21" s="63">
        <f t="shared" si="1"/>
        <v>200000</v>
      </c>
      <c r="Q21" s="9"/>
    </row>
    <row r="22">
      <c r="A22" s="52" t="str">
        <f>'見積書'!A22</f>
        <v>資料請求ページ制作</v>
      </c>
      <c r="B22" s="12"/>
      <c r="C22" s="12"/>
      <c r="D22" s="12"/>
      <c r="E22" s="12"/>
      <c r="F22" s="12"/>
      <c r="G22" s="12"/>
      <c r="H22" s="12"/>
      <c r="I22" s="9"/>
      <c r="J22" s="100" t="str">
        <f>'見積書'!J22</f>
        <v>---</v>
      </c>
      <c r="K22" s="61">
        <f>'見積書'!K22</f>
        <v>1</v>
      </c>
      <c r="L22" s="62" t="str">
        <f>'見積書'!L22</f>
        <v>個</v>
      </c>
      <c r="M22" s="63">
        <f>'見積書'!M22</f>
        <v>200000</v>
      </c>
      <c r="N22" s="9"/>
      <c r="O22" s="65">
        <v>0.1</v>
      </c>
      <c r="P22" s="63">
        <f t="shared" si="1"/>
        <v>200000</v>
      </c>
      <c r="Q22" s="9"/>
    </row>
    <row r="23">
      <c r="A23" s="52" t="str">
        <f>'見積書'!A23</f>
        <v>セミナー集客ページ制作</v>
      </c>
      <c r="B23" s="12"/>
      <c r="C23" s="12"/>
      <c r="D23" s="12"/>
      <c r="E23" s="12"/>
      <c r="F23" s="12"/>
      <c r="G23" s="12"/>
      <c r="H23" s="12"/>
      <c r="I23" s="9"/>
      <c r="J23" s="100" t="str">
        <f>'見積書'!J23</f>
        <v>---</v>
      </c>
      <c r="K23" s="61">
        <f>'見積書'!K23</f>
        <v>1</v>
      </c>
      <c r="L23" s="62" t="str">
        <f>'見積書'!L23</f>
        <v>個</v>
      </c>
      <c r="M23" s="63">
        <f>'見積書'!M23</f>
        <v>100000</v>
      </c>
      <c r="N23" s="9"/>
      <c r="O23" s="65">
        <v>0.1</v>
      </c>
      <c r="P23" s="63">
        <f t="shared" si="1"/>
        <v>100000</v>
      </c>
      <c r="Q23" s="9"/>
    </row>
    <row r="24">
      <c r="A24" s="52" t="str">
        <f>'見積書'!A24</f>
        <v>オンライン研修案内用ページ制作</v>
      </c>
      <c r="B24" s="12"/>
      <c r="C24" s="12"/>
      <c r="D24" s="12"/>
      <c r="E24" s="12"/>
      <c r="F24" s="12"/>
      <c r="G24" s="12"/>
      <c r="H24" s="12"/>
      <c r="I24" s="9"/>
      <c r="J24" s="100" t="str">
        <f>'見積書'!J24</f>
        <v>---</v>
      </c>
      <c r="K24" s="61">
        <f>'見積書'!K24</f>
        <v>3</v>
      </c>
      <c r="L24" s="62" t="str">
        <f>'見積書'!L24</f>
        <v>個</v>
      </c>
      <c r="M24" s="63">
        <f>'見積書'!M24</f>
        <v>100000</v>
      </c>
      <c r="N24" s="9"/>
      <c r="O24" s="65">
        <v>0.1</v>
      </c>
      <c r="P24" s="63">
        <f t="shared" si="1"/>
        <v>300000</v>
      </c>
      <c r="Q24" s="9"/>
    </row>
    <row r="25">
      <c r="A25" s="52" t="str">
        <f>'見積書'!A25</f>
        <v>コンサルティング案内用ページ制作</v>
      </c>
      <c r="B25" s="12"/>
      <c r="C25" s="12"/>
      <c r="D25" s="12"/>
      <c r="E25" s="12"/>
      <c r="F25" s="12"/>
      <c r="G25" s="12"/>
      <c r="H25" s="12"/>
      <c r="I25" s="9"/>
      <c r="J25" s="100" t="str">
        <f>'見積書'!J25</f>
        <v>---</v>
      </c>
      <c r="K25" s="61">
        <f>'見積書'!K25</f>
        <v>1</v>
      </c>
      <c r="L25" s="62" t="str">
        <f>'見積書'!L25</f>
        <v>個</v>
      </c>
      <c r="M25" s="63">
        <f>'見積書'!M25</f>
        <v>100000</v>
      </c>
      <c r="N25" s="9"/>
      <c r="O25" s="65">
        <v>0.1</v>
      </c>
      <c r="P25" s="63">
        <f t="shared" si="1"/>
        <v>100000</v>
      </c>
      <c r="Q25" s="9"/>
    </row>
    <row r="26">
      <c r="A26" s="52" t="str">
        <f>'見積書'!A26</f>
        <v>お問い合わせ獲得用ページ制作</v>
      </c>
      <c r="B26" s="12"/>
      <c r="C26" s="12"/>
      <c r="D26" s="12"/>
      <c r="E26" s="12"/>
      <c r="F26" s="12"/>
      <c r="G26" s="12"/>
      <c r="H26" s="12"/>
      <c r="I26" s="9"/>
      <c r="J26" s="100" t="str">
        <f>'見積書'!J26</f>
        <v>---</v>
      </c>
      <c r="K26" s="61">
        <f>'見積書'!K26</f>
        <v>1</v>
      </c>
      <c r="L26" s="62" t="str">
        <f>'見積書'!L26</f>
        <v>個</v>
      </c>
      <c r="M26" s="63">
        <f>'見積書'!M26</f>
        <v>100000</v>
      </c>
      <c r="N26" s="9"/>
      <c r="O26" s="65">
        <v>0.1</v>
      </c>
      <c r="P26" s="63">
        <f t="shared" si="1"/>
        <v>100000</v>
      </c>
      <c r="Q26" s="9"/>
    </row>
    <row r="27">
      <c r="A27" s="52" t="str">
        <f>'見積書'!A27</f>
        <v>お問い合わせ時配布用資料作成</v>
      </c>
      <c r="B27" s="12"/>
      <c r="C27" s="12"/>
      <c r="D27" s="12"/>
      <c r="E27" s="12"/>
      <c r="F27" s="12"/>
      <c r="G27" s="12"/>
      <c r="H27" s="12"/>
      <c r="I27" s="9"/>
      <c r="J27" s="100" t="str">
        <f>'見積書'!J27</f>
        <v>---</v>
      </c>
      <c r="K27" s="61">
        <f>'見積書'!K27</f>
        <v>1</v>
      </c>
      <c r="L27" s="62" t="str">
        <f>'見積書'!L27</f>
        <v>個</v>
      </c>
      <c r="M27" s="63">
        <f>'見積書'!M27</f>
        <v>300000</v>
      </c>
      <c r="N27" s="9"/>
      <c r="O27" s="65">
        <v>0.1</v>
      </c>
      <c r="P27" s="63">
        <f t="shared" si="1"/>
        <v>300000</v>
      </c>
      <c r="Q27" s="9"/>
    </row>
    <row r="28">
      <c r="A28" s="52" t="str">
        <f>'見積書'!A28</f>
        <v>ブログ記事制作</v>
      </c>
      <c r="B28" s="12"/>
      <c r="C28" s="12"/>
      <c r="D28" s="12"/>
      <c r="E28" s="12"/>
      <c r="F28" s="12"/>
      <c r="G28" s="12"/>
      <c r="H28" s="12"/>
      <c r="I28" s="9"/>
      <c r="J28" s="100" t="str">
        <f>'見積書'!J28</f>
        <v>---</v>
      </c>
      <c r="K28" s="61">
        <f>'見積書'!K28</f>
        <v>30</v>
      </c>
      <c r="L28" s="62" t="str">
        <f>'見積書'!L28</f>
        <v>個</v>
      </c>
      <c r="M28" s="63">
        <f>'見積書'!M28</f>
        <v>10000</v>
      </c>
      <c r="N28" s="9"/>
      <c r="O28" s="65">
        <v>0.1</v>
      </c>
      <c r="P28" s="63">
        <f t="shared" si="1"/>
        <v>300000</v>
      </c>
      <c r="Q28" s="9"/>
    </row>
    <row r="29">
      <c r="A29" s="52" t="str">
        <f>'見積書'!A29</f>
        <v>ウェビナー制作</v>
      </c>
      <c r="B29" s="12"/>
      <c r="C29" s="12"/>
      <c r="D29" s="12"/>
      <c r="E29" s="12"/>
      <c r="F29" s="12"/>
      <c r="G29" s="12"/>
      <c r="H29" s="12"/>
      <c r="I29" s="9"/>
      <c r="J29" s="100" t="str">
        <f>'見積書'!J29</f>
        <v>---</v>
      </c>
      <c r="K29" s="61">
        <f>'見積書'!K29</f>
        <v>1</v>
      </c>
      <c r="L29" s="62" t="str">
        <f>'見積書'!L29</f>
        <v>個</v>
      </c>
      <c r="M29" s="63">
        <f>'見積書'!M29</f>
        <v>200000</v>
      </c>
      <c r="N29" s="9"/>
      <c r="O29" s="65">
        <v>0.1</v>
      </c>
      <c r="P29" s="63">
        <f t="shared" si="1"/>
        <v>200000</v>
      </c>
      <c r="Q29" s="9"/>
    </row>
    <row r="30">
      <c r="A30" s="52" t="str">
        <f>'見積書'!A30</f>
        <v>Easy Webinar</v>
      </c>
      <c r="B30" s="12"/>
      <c r="C30" s="12"/>
      <c r="D30" s="12"/>
      <c r="E30" s="12"/>
      <c r="F30" s="12"/>
      <c r="G30" s="12"/>
      <c r="H30" s="12"/>
      <c r="I30" s="9"/>
      <c r="J30" s="100" t="str">
        <f>'見積書'!J30</f>
        <v>---</v>
      </c>
      <c r="K30" s="61">
        <f>'見積書'!K30</f>
        <v>1</v>
      </c>
      <c r="L30" s="62" t="str">
        <f>'見積書'!L30</f>
        <v>個</v>
      </c>
      <c r="M30" s="63">
        <f>'見積書'!M30</f>
        <v>100000</v>
      </c>
      <c r="N30" s="9"/>
      <c r="O30" s="65">
        <v>0.1</v>
      </c>
      <c r="P30" s="63">
        <f t="shared" si="1"/>
        <v>100000</v>
      </c>
      <c r="Q30" s="9"/>
    </row>
    <row r="31">
      <c r="A31" s="52" t="str">
        <f>'見積書'!A31</f>
        <v/>
      </c>
      <c r="B31" s="12"/>
      <c r="C31" s="12"/>
      <c r="D31" s="12"/>
      <c r="E31" s="12"/>
      <c r="F31" s="12"/>
      <c r="G31" s="12"/>
      <c r="H31" s="12"/>
      <c r="I31" s="9"/>
      <c r="J31" s="100" t="str">
        <f>'見積書'!J31</f>
        <v>---</v>
      </c>
      <c r="K31" s="61" t="str">
        <f>'見積書'!K31</f>
        <v/>
      </c>
      <c r="L31" s="62" t="str">
        <f>'見積書'!L31</f>
        <v>個</v>
      </c>
      <c r="M31" s="63" t="str">
        <f>'見積書'!M31</f>
        <v/>
      </c>
      <c r="N31" s="9"/>
      <c r="O31" s="65">
        <v>0.1</v>
      </c>
      <c r="P31" s="63">
        <f t="shared" si="1"/>
        <v>0</v>
      </c>
      <c r="Q31" s="9"/>
    </row>
    <row r="32" hidden="1">
      <c r="A32" s="52" t="str">
        <f>'見積書'!A32</f>
        <v/>
      </c>
      <c r="B32" s="12"/>
      <c r="C32" s="12"/>
      <c r="D32" s="12"/>
      <c r="E32" s="12"/>
      <c r="F32" s="12"/>
      <c r="G32" s="12"/>
      <c r="H32" s="12"/>
      <c r="I32" s="9"/>
      <c r="J32" s="100" t="str">
        <f>'見積書'!J32</f>
        <v>---</v>
      </c>
      <c r="K32" s="61" t="str">
        <f>'見積書'!K32</f>
        <v/>
      </c>
      <c r="L32" s="62" t="str">
        <f>'見積書'!L32</f>
        <v>個</v>
      </c>
      <c r="M32" s="63" t="str">
        <f>'見積書'!M32</f>
        <v/>
      </c>
      <c r="N32" s="9"/>
      <c r="O32" s="65">
        <v>0.1</v>
      </c>
      <c r="P32" s="63">
        <f t="shared" si="1"/>
        <v>0</v>
      </c>
      <c r="Q32" s="9"/>
    </row>
    <row r="33" hidden="1">
      <c r="A33" s="102" t="str">
        <f>'見積書'!A33</f>
        <v/>
      </c>
      <c r="B33" s="21"/>
      <c r="C33" s="21"/>
      <c r="D33" s="21"/>
      <c r="E33" s="21"/>
      <c r="F33" s="21"/>
      <c r="G33" s="21"/>
      <c r="H33" s="21"/>
      <c r="I33" s="47"/>
      <c r="J33" s="100"/>
      <c r="K33" s="61" t="str">
        <f>'見積書'!K33</f>
        <v/>
      </c>
      <c r="L33" s="62" t="str">
        <f>'見積書'!L33</f>
        <v>個</v>
      </c>
      <c r="M33" s="63" t="str">
        <f>'見積書'!M33</f>
        <v/>
      </c>
      <c r="N33" s="9"/>
      <c r="O33" s="65">
        <v>0.1</v>
      </c>
      <c r="P33" s="66">
        <f t="shared" si="1"/>
        <v>0</v>
      </c>
      <c r="Q33" s="9"/>
    </row>
    <row r="34">
      <c r="A34" s="31"/>
      <c r="E34" s="16"/>
      <c r="F34" s="16"/>
      <c r="G34" s="16"/>
      <c r="H34" s="16"/>
      <c r="I34" s="16"/>
      <c r="J34" s="16"/>
      <c r="K34" s="4"/>
      <c r="L34" s="16"/>
      <c r="M34" s="16"/>
      <c r="N34" s="42" t="s">
        <v>57</v>
      </c>
      <c r="O34" s="9"/>
      <c r="P34" s="66">
        <f>SUM(P19:Q33)</f>
        <v>1900000</v>
      </c>
      <c r="Q34" s="9"/>
    </row>
    <row r="35">
      <c r="A35" s="84"/>
      <c r="C35" s="85"/>
      <c r="E35" s="85"/>
      <c r="G35" s="16"/>
      <c r="H35" s="16"/>
      <c r="I35" s="16"/>
      <c r="J35" s="16"/>
      <c r="K35" s="16"/>
      <c r="L35" s="16"/>
      <c r="M35" s="16"/>
      <c r="N35" s="42" t="s">
        <v>58</v>
      </c>
      <c r="O35" s="9"/>
      <c r="P35" s="66">
        <f>P34*0.1</f>
        <v>190000</v>
      </c>
      <c r="Q35" s="9"/>
    </row>
    <row r="36">
      <c r="A36" s="7"/>
      <c r="C36" s="86"/>
      <c r="E36" s="86"/>
      <c r="G36" s="16"/>
      <c r="H36" s="16"/>
      <c r="I36" s="16"/>
      <c r="J36" s="16"/>
      <c r="K36" s="16"/>
      <c r="L36" s="16"/>
      <c r="M36" s="16"/>
      <c r="N36" s="42" t="s">
        <v>59</v>
      </c>
      <c r="O36" s="9"/>
      <c r="P36" s="66">
        <f>P34+P35</f>
        <v>2090000</v>
      </c>
      <c r="Q36" s="9"/>
    </row>
    <row r="37">
      <c r="A37" s="7"/>
      <c r="C37" s="86"/>
      <c r="E37" s="8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42" t="s">
        <v>60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9"/>
    </row>
    <row r="41">
      <c r="A41" s="70" t="s">
        <v>66</v>
      </c>
      <c r="B41" s="103" t="str">
        <f>'基本項目'!C6</f>
        <v/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47"/>
    </row>
    <row r="42">
      <c r="A42" s="104" t="s">
        <v>67</v>
      </c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6"/>
    </row>
    <row r="43">
      <c r="A43" s="104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6"/>
    </row>
    <row r="44">
      <c r="A44" s="77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6"/>
    </row>
    <row r="45">
      <c r="A45" s="77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6"/>
    </row>
    <row r="46">
      <c r="A46" s="77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6"/>
    </row>
    <row r="47">
      <c r="A47" s="90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91"/>
    </row>
    <row r="48">
      <c r="A48" s="9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91"/>
    </row>
    <row r="49">
      <c r="A49" s="78"/>
      <c r="Q49" s="79"/>
    </row>
    <row r="50">
      <c r="A50" s="78"/>
      <c r="Q50" s="79"/>
    </row>
    <row r="51">
      <c r="A51" s="78"/>
      <c r="Q51" s="79"/>
    </row>
    <row r="52">
      <c r="A52" s="78"/>
      <c r="Q52" s="79"/>
    </row>
    <row r="53">
      <c r="A53" s="78"/>
      <c r="Q53" s="79"/>
    </row>
    <row r="54">
      <c r="A54" s="78"/>
      <c r="Q54" s="79"/>
    </row>
    <row r="55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2"/>
    </row>
  </sheetData>
  <mergeCells count="87">
    <mergeCell ref="M27:N27"/>
    <mergeCell ref="M28:N28"/>
    <mergeCell ref="M20:N20"/>
    <mergeCell ref="M21:N21"/>
    <mergeCell ref="M22:N22"/>
    <mergeCell ref="M23:N23"/>
    <mergeCell ref="M24:N24"/>
    <mergeCell ref="M25:N25"/>
    <mergeCell ref="M26:N26"/>
    <mergeCell ref="A27:I27"/>
    <mergeCell ref="A28:I28"/>
    <mergeCell ref="A29:I29"/>
    <mergeCell ref="M29:N29"/>
    <mergeCell ref="A30:I30"/>
    <mergeCell ref="M30:N30"/>
    <mergeCell ref="M31:N31"/>
    <mergeCell ref="N35:O35"/>
    <mergeCell ref="P35:Q35"/>
    <mergeCell ref="N36:O36"/>
    <mergeCell ref="P36:Q36"/>
    <mergeCell ref="A31:I31"/>
    <mergeCell ref="A32:I32"/>
    <mergeCell ref="M32:N32"/>
    <mergeCell ref="A33:I33"/>
    <mergeCell ref="M33:N33"/>
    <mergeCell ref="N34:O34"/>
    <mergeCell ref="P34:Q34"/>
    <mergeCell ref="A37:B37"/>
    <mergeCell ref="C37:D37"/>
    <mergeCell ref="E37:F37"/>
    <mergeCell ref="A40:Q40"/>
    <mergeCell ref="B41:Q41"/>
    <mergeCell ref="A34:D34"/>
    <mergeCell ref="A35:B35"/>
    <mergeCell ref="C35:D35"/>
    <mergeCell ref="E35:F35"/>
    <mergeCell ref="A36:B36"/>
    <mergeCell ref="C36:D36"/>
    <mergeCell ref="E36:F36"/>
    <mergeCell ref="A1:Q1"/>
    <mergeCell ref="M3:N3"/>
    <mergeCell ref="O3:Q3"/>
    <mergeCell ref="M4:N4"/>
    <mergeCell ref="O4:Q4"/>
    <mergeCell ref="A5:I5"/>
    <mergeCell ref="A6:I6"/>
    <mergeCell ref="A7:I7"/>
    <mergeCell ref="L7:Q7"/>
    <mergeCell ref="A8:I8"/>
    <mergeCell ref="L8:Q8"/>
    <mergeCell ref="A9:I9"/>
    <mergeCell ref="M9:Q9"/>
    <mergeCell ref="M10:Q10"/>
    <mergeCell ref="A10:I10"/>
    <mergeCell ref="A11:I12"/>
    <mergeCell ref="B14:I14"/>
    <mergeCell ref="A15:A16"/>
    <mergeCell ref="B15:I16"/>
    <mergeCell ref="A18:I18"/>
    <mergeCell ref="A19:I19"/>
    <mergeCell ref="M11:Q11"/>
    <mergeCell ref="M12:Q12"/>
    <mergeCell ref="M18:N18"/>
    <mergeCell ref="P18:Q18"/>
    <mergeCell ref="M19:N19"/>
    <mergeCell ref="P19:Q19"/>
    <mergeCell ref="P20:Q20"/>
    <mergeCell ref="A20:I20"/>
    <mergeCell ref="A21:I21"/>
    <mergeCell ref="A22:I22"/>
    <mergeCell ref="A23:I23"/>
    <mergeCell ref="A24:I24"/>
    <mergeCell ref="A25:I25"/>
    <mergeCell ref="A26:I26"/>
    <mergeCell ref="P28:Q28"/>
    <mergeCell ref="P29:Q29"/>
    <mergeCell ref="P30:Q30"/>
    <mergeCell ref="P31:Q31"/>
    <mergeCell ref="P32:Q32"/>
    <mergeCell ref="P33:Q33"/>
    <mergeCell ref="P21:Q21"/>
    <mergeCell ref="P22:Q22"/>
    <mergeCell ref="P23:Q23"/>
    <mergeCell ref="P24:Q24"/>
    <mergeCell ref="P25:Q25"/>
    <mergeCell ref="P26:Q26"/>
    <mergeCell ref="P27:Q27"/>
  </mergeCells>
  <conditionalFormatting sqref="B5:I7 A6:A7">
    <cfRule type="containsBlanks" dxfId="0" priority="1">
      <formula>LEN(TRIM(B5))=0</formula>
    </cfRule>
  </conditionalFormatting>
  <conditionalFormatting sqref="P3:Q3">
    <cfRule type="containsBlanks" dxfId="0" priority="2">
      <formula>LEN(TRIM(P3))=0</formula>
    </cfRule>
  </conditionalFormatting>
  <conditionalFormatting sqref="M7:M8 N7:Q12 L9:L12">
    <cfRule type="containsBlanks" dxfId="0" priority="3">
      <formula>LEN(TRIM(M7))=0</formula>
    </cfRule>
  </conditionalFormatting>
  <conditionalFormatting sqref="C14:I16 B16">
    <cfRule type="containsBlanks" dxfId="0" priority="4">
      <formula>LEN(TRIM(C14))=0</formula>
    </cfRule>
  </conditionalFormatting>
  <dataValidations>
    <dataValidation type="list" allowBlank="1" showErrorMessage="1" sqref="O19:O33">
      <formula1>"10%,8%"</formula1>
    </dataValidation>
  </dataValidations>
  <printOptions horizontalCentered="1"/>
  <pageMargins bottom="0.75" footer="0.0" header="0.0" left="0.7" right="0.7" top="0.75"/>
  <pageSetup fitToHeight="0" paperSize="9" orientation="portrait" pageOrder="overThenDown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9" width="6.38"/>
    <col customWidth="1" min="12" max="12" width="12.0"/>
    <col customWidth="1" min="13" max="13" width="10.0"/>
    <col customWidth="1" min="14" max="14" width="7.63"/>
    <col customWidth="1" min="16" max="17" width="13.5"/>
  </cols>
  <sheetData>
    <row r="1">
      <c r="A1" s="2" t="s">
        <v>63</v>
      </c>
    </row>
    <row r="2">
      <c r="A2" s="5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7" t="s">
        <v>8</v>
      </c>
      <c r="O3" s="10">
        <v>44927.0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7" t="s">
        <v>64</v>
      </c>
      <c r="O4" s="14" t="str">
        <f>TEXT(O3,"yyyymm") &amp; "-" &amp; TEXT(DAY(O3),"00")</f>
        <v>202301-01</v>
      </c>
    </row>
    <row r="5">
      <c r="A5" s="24" t="str">
        <f>'基本項目'!C10</f>
        <v/>
      </c>
      <c r="J5" s="5" t="s">
        <v>23</v>
      </c>
      <c r="K5" s="4"/>
      <c r="L5" s="4"/>
      <c r="M5" s="16"/>
      <c r="N5" s="16"/>
      <c r="O5" s="16"/>
      <c r="P5" s="16"/>
      <c r="Q5" s="16"/>
    </row>
    <row r="6">
      <c r="A6" s="94" t="str">
        <f>'基本項目'!C11</f>
        <v/>
      </c>
      <c r="J6" s="4"/>
      <c r="K6" s="4"/>
      <c r="L6" s="4"/>
      <c r="M6" s="18"/>
      <c r="N6" s="18"/>
      <c r="O6" s="19"/>
      <c r="P6" s="19"/>
      <c r="Q6" s="19"/>
    </row>
    <row r="7">
      <c r="A7" s="95" t="str">
        <f>'基本項目'!C12</f>
        <v/>
      </c>
      <c r="J7" s="4"/>
      <c r="K7" s="4"/>
      <c r="L7" s="98" t="str">
        <f>'基本項目'!C16</f>
        <v/>
      </c>
    </row>
    <row r="8">
      <c r="A8" s="40"/>
      <c r="J8" s="4"/>
      <c r="K8" s="4"/>
      <c r="L8" s="94" t="str">
        <f>'基本項目'!C17</f>
        <v/>
      </c>
    </row>
    <row r="9">
      <c r="A9" s="39" t="s">
        <v>65</v>
      </c>
      <c r="B9" s="34"/>
      <c r="C9" s="34"/>
      <c r="D9" s="34"/>
      <c r="E9" s="34"/>
      <c r="F9" s="34"/>
      <c r="G9" s="34"/>
      <c r="H9" s="34"/>
      <c r="I9" s="34"/>
      <c r="J9" s="27"/>
      <c r="K9" s="27"/>
      <c r="L9" s="94" t="s">
        <v>25</v>
      </c>
      <c r="M9" s="99" t="str">
        <f>'基本項目'!C18</f>
        <v/>
      </c>
    </row>
    <row r="10">
      <c r="A10" s="42" t="s">
        <v>30</v>
      </c>
      <c r="B10" s="12"/>
      <c r="C10" s="12"/>
      <c r="D10" s="12"/>
      <c r="E10" s="12"/>
      <c r="F10" s="12"/>
      <c r="G10" s="12"/>
      <c r="H10" s="12"/>
      <c r="I10" s="9"/>
      <c r="J10" s="4"/>
      <c r="K10" s="4"/>
      <c r="L10" s="94" t="s">
        <v>27</v>
      </c>
      <c r="M10" s="31" t="str">
        <f>'基本項目'!C19</f>
        <v/>
      </c>
    </row>
    <row r="11">
      <c r="A11" s="46">
        <f>P36</f>
        <v>2090000</v>
      </c>
      <c r="B11" s="21"/>
      <c r="C11" s="21"/>
      <c r="D11" s="21"/>
      <c r="E11" s="21"/>
      <c r="F11" s="21"/>
      <c r="G11" s="21"/>
      <c r="H11" s="21"/>
      <c r="I11" s="47"/>
      <c r="J11" s="4"/>
      <c r="K11" s="4"/>
      <c r="L11" s="94" t="s">
        <v>29</v>
      </c>
      <c r="M11" s="101" t="str">
        <f>'基本項目'!C20</f>
        <v/>
      </c>
    </row>
    <row r="12">
      <c r="A12" s="50"/>
      <c r="B12" s="34"/>
      <c r="C12" s="34"/>
      <c r="D12" s="34"/>
      <c r="E12" s="34"/>
      <c r="F12" s="34"/>
      <c r="G12" s="34"/>
      <c r="H12" s="34"/>
      <c r="I12" s="51"/>
      <c r="J12" s="4"/>
      <c r="K12" s="4"/>
      <c r="L12" s="5" t="s">
        <v>33</v>
      </c>
      <c r="M12" s="4" t="str">
        <f>'基本項目'!C21</f>
        <v/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>
      <c r="A14" s="36" t="s">
        <v>8</v>
      </c>
      <c r="B14" s="38">
        <f>O3</f>
        <v>44927</v>
      </c>
      <c r="C14" s="12"/>
      <c r="D14" s="12"/>
      <c r="E14" s="12"/>
      <c r="F14" s="12"/>
      <c r="G14" s="12"/>
      <c r="H14" s="12"/>
      <c r="I14" s="9"/>
      <c r="J14" s="4"/>
      <c r="K14" s="4"/>
      <c r="L14" s="4"/>
      <c r="M14" s="4"/>
      <c r="N14" s="4"/>
      <c r="O14" s="4"/>
      <c r="P14" s="4"/>
      <c r="Q14" s="4"/>
    </row>
    <row r="15">
      <c r="A15" s="41" t="s">
        <v>11</v>
      </c>
      <c r="B15" s="57" t="str">
        <f>A7</f>
        <v/>
      </c>
      <c r="C15" s="21"/>
      <c r="D15" s="21"/>
      <c r="E15" s="21"/>
      <c r="F15" s="21"/>
      <c r="G15" s="21"/>
      <c r="H15" s="21"/>
      <c r="I15" s="47"/>
      <c r="J15" s="4"/>
      <c r="K15" s="4"/>
      <c r="L15" s="4"/>
      <c r="M15" s="4"/>
      <c r="N15" s="4"/>
      <c r="O15" s="4"/>
      <c r="P15" s="4"/>
      <c r="Q15" s="4"/>
    </row>
    <row r="16">
      <c r="A16" s="58"/>
      <c r="B16" s="50"/>
      <c r="C16" s="34"/>
      <c r="D16" s="34"/>
      <c r="E16" s="34"/>
      <c r="F16" s="34"/>
      <c r="G16" s="34"/>
      <c r="H16" s="34"/>
      <c r="I16" s="51"/>
      <c r="J16" s="4"/>
      <c r="K16" s="4"/>
      <c r="L16" s="4"/>
      <c r="M16" s="4"/>
      <c r="N16" s="4"/>
      <c r="O16" s="4"/>
      <c r="P16" s="4"/>
      <c r="Q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>
      <c r="A18" s="42" t="s">
        <v>32</v>
      </c>
      <c r="B18" s="12"/>
      <c r="C18" s="12"/>
      <c r="D18" s="12"/>
      <c r="E18" s="12"/>
      <c r="F18" s="12"/>
      <c r="G18" s="12"/>
      <c r="H18" s="12"/>
      <c r="I18" s="12"/>
      <c r="J18" s="59" t="s">
        <v>37</v>
      </c>
      <c r="K18" s="36" t="s">
        <v>34</v>
      </c>
      <c r="L18" s="36" t="s">
        <v>35</v>
      </c>
      <c r="M18" s="42" t="s">
        <v>38</v>
      </c>
      <c r="N18" s="9"/>
      <c r="O18" s="36" t="s">
        <v>39</v>
      </c>
      <c r="P18" s="42" t="s">
        <v>40</v>
      </c>
      <c r="Q18" s="9"/>
    </row>
    <row r="19">
      <c r="A19" s="23" t="str">
        <f>'見積書'!A19</f>
        <v>採用研修事業サイト制作（企画・原稿・デザイン）</v>
      </c>
      <c r="B19" s="12"/>
      <c r="C19" s="12"/>
      <c r="D19" s="12"/>
      <c r="E19" s="12"/>
      <c r="F19" s="12"/>
      <c r="G19" s="12"/>
      <c r="H19" s="12"/>
      <c r="I19" s="54"/>
      <c r="J19" s="60" t="s">
        <v>42</v>
      </c>
      <c r="K19" s="61" t="str">
        <f>'見積書'!K19</f>
        <v/>
      </c>
      <c r="L19" s="62" t="s">
        <v>43</v>
      </c>
      <c r="M19" s="63" t="str">
        <f>'見積書'!M19</f>
        <v/>
      </c>
      <c r="N19" s="9"/>
      <c r="O19" s="65">
        <v>0.1</v>
      </c>
      <c r="P19" s="66">
        <f t="shared" ref="P19:P33" si="1">K19*M19</f>
        <v>0</v>
      </c>
      <c r="Q19" s="9"/>
    </row>
    <row r="20">
      <c r="A20" s="23" t="str">
        <f>'見積書'!A20</f>
        <v>(内訳)</v>
      </c>
      <c r="B20" s="12"/>
      <c r="C20" s="12"/>
      <c r="D20" s="12"/>
      <c r="E20" s="12"/>
      <c r="F20" s="12"/>
      <c r="G20" s="12"/>
      <c r="H20" s="12"/>
      <c r="I20" s="54"/>
      <c r="J20" s="60"/>
      <c r="K20" s="61" t="str">
        <f>'見積書'!K20</f>
        <v/>
      </c>
      <c r="L20" s="62" t="s">
        <v>43</v>
      </c>
      <c r="M20" s="63" t="str">
        <f>'見積書'!M20</f>
        <v/>
      </c>
      <c r="N20" s="9"/>
      <c r="O20" s="65">
        <v>0.1</v>
      </c>
      <c r="P20" s="66">
        <f t="shared" si="1"/>
        <v>0</v>
      </c>
      <c r="Q20" s="9"/>
    </row>
    <row r="21">
      <c r="A21" s="23" t="str">
        <f>'見積書'!A21</f>
        <v>TOPページ制作</v>
      </c>
      <c r="B21" s="12"/>
      <c r="C21" s="12"/>
      <c r="D21" s="12"/>
      <c r="E21" s="12"/>
      <c r="F21" s="12"/>
      <c r="G21" s="12"/>
      <c r="H21" s="12"/>
      <c r="I21" s="54"/>
      <c r="J21" s="67"/>
      <c r="K21" s="61">
        <f>'見積書'!K21</f>
        <v>1</v>
      </c>
      <c r="L21" s="62" t="s">
        <v>43</v>
      </c>
      <c r="M21" s="63">
        <f>'見積書'!M21</f>
        <v>200000</v>
      </c>
      <c r="N21" s="9"/>
      <c r="O21" s="65">
        <v>0.1</v>
      </c>
      <c r="P21" s="66">
        <f t="shared" si="1"/>
        <v>200000</v>
      </c>
      <c r="Q21" s="9"/>
    </row>
    <row r="22">
      <c r="A22" s="23" t="str">
        <f>'見積書'!A22</f>
        <v>資料請求ページ制作</v>
      </c>
      <c r="B22" s="12"/>
      <c r="C22" s="12"/>
      <c r="D22" s="12"/>
      <c r="E22" s="12"/>
      <c r="F22" s="12"/>
      <c r="G22" s="12"/>
      <c r="H22" s="12"/>
      <c r="I22" s="54"/>
      <c r="J22" s="67"/>
      <c r="K22" s="61">
        <f>'見積書'!K22</f>
        <v>1</v>
      </c>
      <c r="L22" s="62" t="s">
        <v>43</v>
      </c>
      <c r="M22" s="63">
        <f>'見積書'!M22</f>
        <v>200000</v>
      </c>
      <c r="N22" s="9"/>
      <c r="O22" s="65">
        <v>0.1</v>
      </c>
      <c r="P22" s="66">
        <f t="shared" si="1"/>
        <v>200000</v>
      </c>
      <c r="Q22" s="9"/>
    </row>
    <row r="23">
      <c r="A23" s="23" t="str">
        <f>'見積書'!A23</f>
        <v>セミナー集客ページ制作</v>
      </c>
      <c r="B23" s="12"/>
      <c r="C23" s="12"/>
      <c r="D23" s="12"/>
      <c r="E23" s="12"/>
      <c r="F23" s="12"/>
      <c r="G23" s="12"/>
      <c r="H23" s="12"/>
      <c r="I23" s="54"/>
      <c r="J23" s="67"/>
      <c r="K23" s="61">
        <f>'見積書'!K23</f>
        <v>1</v>
      </c>
      <c r="L23" s="62" t="s">
        <v>43</v>
      </c>
      <c r="M23" s="63">
        <f>'見積書'!M23</f>
        <v>100000</v>
      </c>
      <c r="N23" s="9"/>
      <c r="O23" s="65">
        <v>0.1</v>
      </c>
      <c r="P23" s="66">
        <f t="shared" si="1"/>
        <v>100000</v>
      </c>
      <c r="Q23" s="9"/>
    </row>
    <row r="24">
      <c r="A24" s="23" t="str">
        <f>'見積書'!A24</f>
        <v>オンライン研修案内用ページ制作</v>
      </c>
      <c r="B24" s="12"/>
      <c r="C24" s="12"/>
      <c r="D24" s="12"/>
      <c r="E24" s="12"/>
      <c r="F24" s="12"/>
      <c r="G24" s="12"/>
      <c r="H24" s="12"/>
      <c r="I24" s="54"/>
      <c r="J24" s="67"/>
      <c r="K24" s="61">
        <f>'見積書'!K24</f>
        <v>3</v>
      </c>
      <c r="L24" s="62" t="s">
        <v>43</v>
      </c>
      <c r="M24" s="63">
        <f>'見積書'!M24</f>
        <v>100000</v>
      </c>
      <c r="N24" s="9"/>
      <c r="O24" s="65">
        <v>0.1</v>
      </c>
      <c r="P24" s="66">
        <f t="shared" si="1"/>
        <v>300000</v>
      </c>
      <c r="Q24" s="9"/>
    </row>
    <row r="25">
      <c r="A25" s="23" t="str">
        <f>'見積書'!A25</f>
        <v>コンサルティング案内用ページ制作</v>
      </c>
      <c r="B25" s="12"/>
      <c r="C25" s="12"/>
      <c r="D25" s="12"/>
      <c r="E25" s="12"/>
      <c r="F25" s="12"/>
      <c r="G25" s="12"/>
      <c r="H25" s="12"/>
      <c r="I25" s="54"/>
      <c r="J25" s="67"/>
      <c r="K25" s="61">
        <f>'見積書'!K25</f>
        <v>1</v>
      </c>
      <c r="L25" s="62" t="s">
        <v>43</v>
      </c>
      <c r="M25" s="63">
        <f>'見積書'!M25</f>
        <v>100000</v>
      </c>
      <c r="N25" s="9"/>
      <c r="O25" s="65">
        <v>0.1</v>
      </c>
      <c r="P25" s="66">
        <f t="shared" si="1"/>
        <v>100000</v>
      </c>
      <c r="Q25" s="9"/>
    </row>
    <row r="26">
      <c r="A26" s="23" t="str">
        <f>'見積書'!A26</f>
        <v>お問い合わせ獲得用ページ制作</v>
      </c>
      <c r="B26" s="12"/>
      <c r="C26" s="12"/>
      <c r="D26" s="12"/>
      <c r="E26" s="12"/>
      <c r="F26" s="12"/>
      <c r="G26" s="12"/>
      <c r="H26" s="12"/>
      <c r="I26" s="54"/>
      <c r="J26" s="67"/>
      <c r="K26" s="61">
        <f>'見積書'!K26</f>
        <v>1</v>
      </c>
      <c r="L26" s="62" t="s">
        <v>43</v>
      </c>
      <c r="M26" s="63">
        <f>'見積書'!M26</f>
        <v>100000</v>
      </c>
      <c r="N26" s="9"/>
      <c r="O26" s="65">
        <v>0.1</v>
      </c>
      <c r="P26" s="66">
        <f t="shared" si="1"/>
        <v>100000</v>
      </c>
      <c r="Q26" s="9"/>
    </row>
    <row r="27">
      <c r="A27" s="23" t="str">
        <f>'見積書'!A27</f>
        <v>お問い合わせ時配布用資料作成</v>
      </c>
      <c r="B27" s="12"/>
      <c r="C27" s="12"/>
      <c r="D27" s="12"/>
      <c r="E27" s="12"/>
      <c r="F27" s="12"/>
      <c r="G27" s="12"/>
      <c r="H27" s="12"/>
      <c r="I27" s="54"/>
      <c r="J27" s="67"/>
      <c r="K27" s="61">
        <f>'見積書'!K27</f>
        <v>1</v>
      </c>
      <c r="L27" s="62" t="s">
        <v>43</v>
      </c>
      <c r="M27" s="63">
        <f>'見積書'!M27</f>
        <v>300000</v>
      </c>
      <c r="N27" s="9"/>
      <c r="O27" s="65">
        <v>0.1</v>
      </c>
      <c r="P27" s="66">
        <f t="shared" si="1"/>
        <v>300000</v>
      </c>
      <c r="Q27" s="9"/>
    </row>
    <row r="28">
      <c r="A28" s="23" t="str">
        <f>'見積書'!A28</f>
        <v>ブログ記事制作</v>
      </c>
      <c r="B28" s="12"/>
      <c r="C28" s="12"/>
      <c r="D28" s="12"/>
      <c r="E28" s="12"/>
      <c r="F28" s="12"/>
      <c r="G28" s="12"/>
      <c r="H28" s="12"/>
      <c r="I28" s="54"/>
      <c r="J28" s="67"/>
      <c r="K28" s="61">
        <f>'見積書'!K28</f>
        <v>30</v>
      </c>
      <c r="L28" s="62" t="s">
        <v>43</v>
      </c>
      <c r="M28" s="63">
        <f>'見積書'!M28</f>
        <v>10000</v>
      </c>
      <c r="N28" s="9"/>
      <c r="O28" s="65">
        <v>0.1</v>
      </c>
      <c r="P28" s="66">
        <f t="shared" si="1"/>
        <v>300000</v>
      </c>
      <c r="Q28" s="9"/>
    </row>
    <row r="29">
      <c r="A29" s="23" t="str">
        <f>'見積書'!A29</f>
        <v>ウェビナー制作</v>
      </c>
      <c r="B29" s="12"/>
      <c r="C29" s="12"/>
      <c r="D29" s="12"/>
      <c r="E29" s="12"/>
      <c r="F29" s="12"/>
      <c r="G29" s="12"/>
      <c r="H29" s="12"/>
      <c r="I29" s="54"/>
      <c r="J29" s="67"/>
      <c r="K29" s="61">
        <f>'見積書'!K29</f>
        <v>1</v>
      </c>
      <c r="L29" s="62" t="s">
        <v>43</v>
      </c>
      <c r="M29" s="63">
        <f>'見積書'!M29</f>
        <v>200000</v>
      </c>
      <c r="N29" s="9"/>
      <c r="O29" s="65">
        <v>0.1</v>
      </c>
      <c r="P29" s="66">
        <f t="shared" si="1"/>
        <v>200000</v>
      </c>
      <c r="Q29" s="9"/>
    </row>
    <row r="30">
      <c r="A30" s="23" t="str">
        <f>'見積書'!A30</f>
        <v>Easy Webinar</v>
      </c>
      <c r="B30" s="12"/>
      <c r="C30" s="12"/>
      <c r="D30" s="12"/>
      <c r="E30" s="12"/>
      <c r="F30" s="12"/>
      <c r="G30" s="12"/>
      <c r="H30" s="12"/>
      <c r="I30" s="54"/>
      <c r="J30" s="67"/>
      <c r="K30" s="61">
        <f>'見積書'!K30</f>
        <v>1</v>
      </c>
      <c r="L30" s="62" t="s">
        <v>43</v>
      </c>
      <c r="M30" s="63">
        <f>'見積書'!M30</f>
        <v>100000</v>
      </c>
      <c r="N30" s="9"/>
      <c r="O30" s="65">
        <v>0.1</v>
      </c>
      <c r="P30" s="66">
        <f t="shared" si="1"/>
        <v>100000</v>
      </c>
      <c r="Q30" s="9"/>
    </row>
    <row r="31">
      <c r="A31" s="23" t="str">
        <f>'見積書'!A31</f>
        <v/>
      </c>
      <c r="B31" s="12"/>
      <c r="C31" s="12"/>
      <c r="D31" s="12"/>
      <c r="E31" s="12"/>
      <c r="F31" s="12"/>
      <c r="G31" s="12"/>
      <c r="H31" s="12"/>
      <c r="I31" s="54"/>
      <c r="J31" s="67"/>
      <c r="K31" s="61" t="str">
        <f>'見積書'!K31</f>
        <v/>
      </c>
      <c r="L31" s="62" t="s">
        <v>43</v>
      </c>
      <c r="M31" s="63" t="str">
        <f>'見積書'!M31</f>
        <v/>
      </c>
      <c r="N31" s="9"/>
      <c r="O31" s="65">
        <v>0.1</v>
      </c>
      <c r="P31" s="66">
        <f t="shared" si="1"/>
        <v>0</v>
      </c>
      <c r="Q31" s="9"/>
    </row>
    <row r="32">
      <c r="A32" s="23" t="str">
        <f>'見積書'!A32</f>
        <v/>
      </c>
      <c r="B32" s="12"/>
      <c r="C32" s="12"/>
      <c r="D32" s="12"/>
      <c r="E32" s="12"/>
      <c r="F32" s="12"/>
      <c r="G32" s="12"/>
      <c r="H32" s="12"/>
      <c r="I32" s="54"/>
      <c r="J32" s="67"/>
      <c r="K32" s="61" t="str">
        <f>'見積書'!K32</f>
        <v/>
      </c>
      <c r="L32" s="62" t="s">
        <v>43</v>
      </c>
      <c r="M32" s="63" t="str">
        <f>'見積書'!M32</f>
        <v/>
      </c>
      <c r="N32" s="9"/>
      <c r="O32" s="65">
        <v>0.1</v>
      </c>
      <c r="P32" s="66">
        <f t="shared" si="1"/>
        <v>0</v>
      </c>
      <c r="Q32" s="9"/>
    </row>
    <row r="33">
      <c r="A33" s="23" t="str">
        <f>'見積書'!A33</f>
        <v/>
      </c>
      <c r="B33" s="12"/>
      <c r="C33" s="12"/>
      <c r="D33" s="12"/>
      <c r="E33" s="12"/>
      <c r="F33" s="12"/>
      <c r="G33" s="12"/>
      <c r="H33" s="12"/>
      <c r="I33" s="54"/>
      <c r="J33" s="67"/>
      <c r="K33" s="61" t="str">
        <f>'見積書'!K33</f>
        <v/>
      </c>
      <c r="L33" s="62" t="s">
        <v>43</v>
      </c>
      <c r="M33" s="63" t="str">
        <f>'見積書'!M33</f>
        <v/>
      </c>
      <c r="N33" s="9"/>
      <c r="O33" s="65">
        <v>0.1</v>
      </c>
      <c r="P33" s="66">
        <f t="shared" si="1"/>
        <v>0</v>
      </c>
      <c r="Q33" s="9"/>
    </row>
    <row r="34">
      <c r="A34" s="31"/>
      <c r="E34" s="16"/>
      <c r="F34" s="16"/>
      <c r="G34" s="16"/>
      <c r="H34" s="16"/>
      <c r="I34" s="16"/>
      <c r="J34" s="16"/>
      <c r="K34" s="4"/>
      <c r="L34" s="16"/>
      <c r="M34" s="16"/>
      <c r="N34" s="42" t="s">
        <v>57</v>
      </c>
      <c r="O34" s="9"/>
      <c r="P34" s="66">
        <f>SUM(P19:Q33)</f>
        <v>1900000</v>
      </c>
      <c r="Q34" s="9"/>
    </row>
    <row r="35">
      <c r="A35" s="84"/>
      <c r="C35" s="85"/>
      <c r="E35" s="85"/>
      <c r="G35" s="16"/>
      <c r="H35" s="16"/>
      <c r="I35" s="16"/>
      <c r="J35" s="16"/>
      <c r="K35" s="16"/>
      <c r="L35" s="16"/>
      <c r="M35" s="16"/>
      <c r="N35" s="42" t="s">
        <v>58</v>
      </c>
      <c r="O35" s="9"/>
      <c r="P35" s="66">
        <f>P34*0.1</f>
        <v>190000</v>
      </c>
      <c r="Q35" s="9"/>
    </row>
    <row r="36">
      <c r="A36" s="7"/>
      <c r="C36" s="86"/>
      <c r="E36" s="86"/>
      <c r="G36" s="16"/>
      <c r="H36" s="16"/>
      <c r="I36" s="16"/>
      <c r="J36" s="16"/>
      <c r="K36" s="16"/>
      <c r="L36" s="16"/>
      <c r="M36" s="16"/>
      <c r="N36" s="42" t="s">
        <v>59</v>
      </c>
      <c r="O36" s="9"/>
      <c r="P36" s="66">
        <f>P34+P35</f>
        <v>2090000</v>
      </c>
      <c r="Q36" s="9"/>
    </row>
    <row r="37">
      <c r="A37" s="7"/>
      <c r="C37" s="86"/>
      <c r="E37" s="8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>
      <c r="A40" s="42" t="s">
        <v>60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9"/>
    </row>
    <row r="41">
      <c r="A41" s="87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47"/>
    </row>
    <row r="42">
      <c r="A42" s="88"/>
      <c r="Q42" s="89"/>
    </row>
    <row r="43">
      <c r="A43" s="88"/>
      <c r="Q43" s="89"/>
    </row>
    <row r="44">
      <c r="A44" s="77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6"/>
    </row>
    <row r="45">
      <c r="A45" s="77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6"/>
    </row>
    <row r="46">
      <c r="A46" s="77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6"/>
    </row>
    <row r="47">
      <c r="A47" s="90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91"/>
    </row>
    <row r="48">
      <c r="A48" s="9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91"/>
    </row>
    <row r="49">
      <c r="A49" s="78"/>
      <c r="Q49" s="79"/>
    </row>
    <row r="50">
      <c r="A50" s="78"/>
      <c r="Q50" s="79"/>
    </row>
    <row r="51">
      <c r="A51" s="78"/>
      <c r="Q51" s="79"/>
    </row>
    <row r="52">
      <c r="A52" s="78"/>
      <c r="Q52" s="79"/>
    </row>
    <row r="53">
      <c r="A53" s="78"/>
      <c r="Q53" s="79"/>
    </row>
    <row r="54">
      <c r="A54" s="78"/>
      <c r="Q54" s="79"/>
    </row>
    <row r="55">
      <c r="A55" s="80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2"/>
    </row>
  </sheetData>
  <mergeCells count="87">
    <mergeCell ref="M27:N27"/>
    <mergeCell ref="M28:N28"/>
    <mergeCell ref="M20:N20"/>
    <mergeCell ref="M21:N21"/>
    <mergeCell ref="M22:N22"/>
    <mergeCell ref="M23:N23"/>
    <mergeCell ref="M24:N24"/>
    <mergeCell ref="M25:N25"/>
    <mergeCell ref="M26:N26"/>
    <mergeCell ref="A27:I27"/>
    <mergeCell ref="A28:I28"/>
    <mergeCell ref="A29:I29"/>
    <mergeCell ref="M29:N29"/>
    <mergeCell ref="A30:I30"/>
    <mergeCell ref="M30:N30"/>
    <mergeCell ref="M31:N31"/>
    <mergeCell ref="N35:O35"/>
    <mergeCell ref="P35:Q35"/>
    <mergeCell ref="N36:O36"/>
    <mergeCell ref="P36:Q36"/>
    <mergeCell ref="A31:I31"/>
    <mergeCell ref="A32:I32"/>
    <mergeCell ref="M32:N32"/>
    <mergeCell ref="A33:I33"/>
    <mergeCell ref="M33:N33"/>
    <mergeCell ref="N34:O34"/>
    <mergeCell ref="P34:Q34"/>
    <mergeCell ref="A37:B37"/>
    <mergeCell ref="C37:D37"/>
    <mergeCell ref="E37:F37"/>
    <mergeCell ref="A40:Q40"/>
    <mergeCell ref="A41:Q43"/>
    <mergeCell ref="A34:D34"/>
    <mergeCell ref="A35:B35"/>
    <mergeCell ref="C35:D35"/>
    <mergeCell ref="E35:F35"/>
    <mergeCell ref="A36:B36"/>
    <mergeCell ref="C36:D36"/>
    <mergeCell ref="E36:F36"/>
    <mergeCell ref="A1:Q1"/>
    <mergeCell ref="M3:N3"/>
    <mergeCell ref="O3:Q3"/>
    <mergeCell ref="M4:N4"/>
    <mergeCell ref="O4:Q4"/>
    <mergeCell ref="A5:I5"/>
    <mergeCell ref="A6:I6"/>
    <mergeCell ref="A7:I7"/>
    <mergeCell ref="L7:Q7"/>
    <mergeCell ref="A8:I8"/>
    <mergeCell ref="L8:Q8"/>
    <mergeCell ref="A9:I9"/>
    <mergeCell ref="M9:Q9"/>
    <mergeCell ref="M10:Q10"/>
    <mergeCell ref="A10:I10"/>
    <mergeCell ref="A11:I12"/>
    <mergeCell ref="B14:I14"/>
    <mergeCell ref="A15:A16"/>
    <mergeCell ref="B15:I16"/>
    <mergeCell ref="A18:I18"/>
    <mergeCell ref="A19:I19"/>
    <mergeCell ref="M11:Q11"/>
    <mergeCell ref="M12:Q12"/>
    <mergeCell ref="M18:N18"/>
    <mergeCell ref="P18:Q18"/>
    <mergeCell ref="M19:N19"/>
    <mergeCell ref="P19:Q19"/>
    <mergeCell ref="P20:Q20"/>
    <mergeCell ref="A20:I20"/>
    <mergeCell ref="A21:I21"/>
    <mergeCell ref="A22:I22"/>
    <mergeCell ref="A23:I23"/>
    <mergeCell ref="A24:I24"/>
    <mergeCell ref="A25:I25"/>
    <mergeCell ref="A26:I26"/>
    <mergeCell ref="P28:Q28"/>
    <mergeCell ref="P29:Q29"/>
    <mergeCell ref="P30:Q30"/>
    <mergeCell ref="P31:Q31"/>
    <mergeCell ref="P32:Q32"/>
    <mergeCell ref="P33:Q33"/>
    <mergeCell ref="P21:Q21"/>
    <mergeCell ref="P22:Q22"/>
    <mergeCell ref="P23:Q23"/>
    <mergeCell ref="P24:Q24"/>
    <mergeCell ref="P25:Q25"/>
    <mergeCell ref="P26:Q26"/>
    <mergeCell ref="P27:Q27"/>
  </mergeCells>
  <conditionalFormatting sqref="A5:I7">
    <cfRule type="containsBlanks" dxfId="0" priority="1">
      <formula>LEN(TRIM(A5))=0</formula>
    </cfRule>
  </conditionalFormatting>
  <conditionalFormatting sqref="O3 P3:Q3">
    <cfRule type="containsBlanks" dxfId="0" priority="2">
      <formula>LEN(TRIM(O3))=0</formula>
    </cfRule>
  </conditionalFormatting>
  <conditionalFormatting sqref="L7:Q12">
    <cfRule type="containsBlanks" dxfId="0" priority="3">
      <formula>LEN(TRIM(L7))=0</formula>
    </cfRule>
  </conditionalFormatting>
  <conditionalFormatting sqref="B14:I16">
    <cfRule type="containsBlanks" dxfId="0" priority="4">
      <formula>LEN(TRIM(B14))=0</formula>
    </cfRule>
  </conditionalFormatting>
  <dataValidations>
    <dataValidation type="list" allowBlank="1" showErrorMessage="1" sqref="O19:O33">
      <formula1>"10%,8%"</formula1>
    </dataValidation>
  </dataValidations>
  <printOptions horizontalCentered="1"/>
  <pageMargins bottom="0.75" footer="0.0" header="0.0" left="0.7" right="0.7" top="0.75"/>
  <pageSetup fitToHeight="0" paperSize="9" orientation="portrait" pageOrder="overThenDown"/>
  <drawing r:id="rId2"/>
  <legacyDrawing r:id="rId3"/>
</worksheet>
</file>